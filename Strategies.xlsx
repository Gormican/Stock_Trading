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6265ad43ba2b229/Documents/Stock/"/>
    </mc:Choice>
  </mc:AlternateContent>
  <xr:revisionPtr revIDLastSave="10" documentId="8_{73F37932-2CFF-4157-B07C-406541840728}" xr6:coauthVersionLast="47" xr6:coauthVersionMax="47" xr10:uidLastSave="{4DF659F5-1143-4919-8C2D-E3F58247D2C2}"/>
  <bookViews>
    <workbookView xWindow="-120" yWindow="-120" windowWidth="29040" windowHeight="15720" tabRatio="500" activeTab="3" xr2:uid="{00000000-000D-0000-FFFF-FFFF00000000}"/>
  </bookViews>
  <sheets>
    <sheet name="README" sheetId="1" r:id="rId1"/>
    <sheet name="Strategies" sheetId="2" r:id="rId2"/>
    <sheet name="Default" sheetId="3" r:id="rId3"/>
    <sheet name="Custom1" sheetId="5" r:id="rId4"/>
    <sheet name="Custom2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6" i="6" l="1"/>
  <c r="Q36" i="6" s="1"/>
  <c r="N36" i="6"/>
  <c r="H36" i="6"/>
  <c r="P35" i="6"/>
  <c r="Q35" i="6" s="1"/>
  <c r="N35" i="6"/>
  <c r="H35" i="6"/>
  <c r="P34" i="6"/>
  <c r="Q34" i="6" s="1"/>
  <c r="N34" i="6"/>
  <c r="H34" i="6"/>
  <c r="H33" i="6" s="1"/>
  <c r="G33" i="6"/>
  <c r="E33" i="6"/>
  <c r="F33" i="6" s="1"/>
  <c r="I34" i="6" s="1"/>
  <c r="P32" i="6"/>
  <c r="Q32" i="6" s="1"/>
  <c r="N32" i="6"/>
  <c r="H32" i="6"/>
  <c r="I32" i="6" s="1"/>
  <c r="P31" i="6"/>
  <c r="Q31" i="6" s="1"/>
  <c r="N31" i="6"/>
  <c r="H31" i="6"/>
  <c r="Q30" i="6"/>
  <c r="P30" i="6"/>
  <c r="N30" i="6"/>
  <c r="H30" i="6"/>
  <c r="P29" i="6"/>
  <c r="Q29" i="6" s="1"/>
  <c r="N29" i="6"/>
  <c r="H29" i="6"/>
  <c r="G28" i="6"/>
  <c r="E28" i="6"/>
  <c r="F28" i="6" s="1"/>
  <c r="E27" i="6"/>
  <c r="D27" i="6"/>
  <c r="C27" i="6"/>
  <c r="P26" i="6"/>
  <c r="Q26" i="6" s="1"/>
  <c r="N26" i="6"/>
  <c r="E26" i="6"/>
  <c r="F26" i="6" s="1"/>
  <c r="I26" i="6" s="1"/>
  <c r="P25" i="6"/>
  <c r="Q25" i="6" s="1"/>
  <c r="N25" i="6"/>
  <c r="H25" i="6"/>
  <c r="P24" i="6"/>
  <c r="Q24" i="6" s="1"/>
  <c r="N24" i="6"/>
  <c r="H24" i="6"/>
  <c r="P23" i="6"/>
  <c r="Q23" i="6" s="1"/>
  <c r="N23" i="6"/>
  <c r="H23" i="6"/>
  <c r="I23" i="6" s="1"/>
  <c r="Q22" i="6"/>
  <c r="P22" i="6"/>
  <c r="N22" i="6"/>
  <c r="H22" i="6"/>
  <c r="P21" i="6"/>
  <c r="Q21" i="6" s="1"/>
  <c r="N21" i="6"/>
  <c r="H21" i="6"/>
  <c r="I21" i="6" s="1"/>
  <c r="P20" i="6"/>
  <c r="Q20" i="6" s="1"/>
  <c r="N20" i="6"/>
  <c r="H20" i="6"/>
  <c r="P19" i="6"/>
  <c r="Q19" i="6" s="1"/>
  <c r="N19" i="6"/>
  <c r="H19" i="6"/>
  <c r="G18" i="6"/>
  <c r="E18" i="6"/>
  <c r="F18" i="6" s="1"/>
  <c r="P17" i="6"/>
  <c r="Q17" i="6" s="1"/>
  <c r="N17" i="6"/>
  <c r="H17" i="6"/>
  <c r="I17" i="6" s="1"/>
  <c r="P16" i="6"/>
  <c r="Q16" i="6" s="1"/>
  <c r="N16" i="6"/>
  <c r="H16" i="6"/>
  <c r="P15" i="6"/>
  <c r="Q15" i="6" s="1"/>
  <c r="N15" i="6"/>
  <c r="H15" i="6"/>
  <c r="H13" i="6" s="1"/>
  <c r="P14" i="6"/>
  <c r="Q14" i="6" s="1"/>
  <c r="N14" i="6"/>
  <c r="H14" i="6"/>
  <c r="G13" i="6"/>
  <c r="E13" i="6"/>
  <c r="F13" i="6" s="1"/>
  <c r="Q12" i="6"/>
  <c r="P12" i="6"/>
  <c r="N12" i="6"/>
  <c r="H12" i="6"/>
  <c r="P11" i="6"/>
  <c r="Q11" i="6" s="1"/>
  <c r="N11" i="6"/>
  <c r="H11" i="6"/>
  <c r="H9" i="6" s="1"/>
  <c r="P10" i="6"/>
  <c r="Q10" i="6" s="1"/>
  <c r="N10" i="6"/>
  <c r="H10" i="6"/>
  <c r="I10" i="6" s="1"/>
  <c r="G9" i="6"/>
  <c r="E9" i="6"/>
  <c r="F9" i="6" s="1"/>
  <c r="D8" i="6"/>
  <c r="C8" i="6"/>
  <c r="P7" i="6"/>
  <c r="Q7" i="6" s="1"/>
  <c r="N7" i="6"/>
  <c r="E7" i="6"/>
  <c r="F7" i="6" s="1"/>
  <c r="I7" i="6" s="1"/>
  <c r="P6" i="6"/>
  <c r="Q6" i="6" s="1"/>
  <c r="N6" i="6"/>
  <c r="E6" i="6"/>
  <c r="F6" i="6" s="1"/>
  <c r="D5" i="6"/>
  <c r="C5" i="6"/>
  <c r="C4" i="6"/>
  <c r="B4" i="6"/>
  <c r="P36" i="5"/>
  <c r="Q36" i="5" s="1"/>
  <c r="N36" i="5"/>
  <c r="H36" i="5"/>
  <c r="P35" i="5"/>
  <c r="Q35" i="5" s="1"/>
  <c r="N35" i="5"/>
  <c r="H35" i="5"/>
  <c r="P34" i="5"/>
  <c r="Q34" i="5" s="1"/>
  <c r="N34" i="5"/>
  <c r="H34" i="5"/>
  <c r="H33" i="5" s="1"/>
  <c r="G33" i="5"/>
  <c r="E33" i="5"/>
  <c r="P32" i="5"/>
  <c r="Q32" i="5" s="1"/>
  <c r="N32" i="5"/>
  <c r="H32" i="5"/>
  <c r="P31" i="5"/>
  <c r="Q31" i="5" s="1"/>
  <c r="N31" i="5"/>
  <c r="H31" i="5"/>
  <c r="Q30" i="5"/>
  <c r="P30" i="5"/>
  <c r="N30" i="5"/>
  <c r="H30" i="5"/>
  <c r="P29" i="5"/>
  <c r="Q29" i="5" s="1"/>
  <c r="N29" i="5"/>
  <c r="H29" i="5"/>
  <c r="G28" i="5"/>
  <c r="E28" i="5"/>
  <c r="E27" i="5"/>
  <c r="D27" i="5"/>
  <c r="C27" i="5"/>
  <c r="C4" i="5" s="1"/>
  <c r="P26" i="5"/>
  <c r="Q26" i="5" s="1"/>
  <c r="N26" i="5"/>
  <c r="E26" i="5"/>
  <c r="F26" i="5" s="1"/>
  <c r="I26" i="5" s="1"/>
  <c r="P25" i="5"/>
  <c r="Q25" i="5" s="1"/>
  <c r="N25" i="5"/>
  <c r="H25" i="5"/>
  <c r="P24" i="5"/>
  <c r="Q24" i="5" s="1"/>
  <c r="N24" i="5"/>
  <c r="H24" i="5"/>
  <c r="P23" i="5"/>
  <c r="Q23" i="5" s="1"/>
  <c r="N23" i="5"/>
  <c r="H23" i="5"/>
  <c r="I23" i="5" s="1"/>
  <c r="Q22" i="5"/>
  <c r="P22" i="5"/>
  <c r="N22" i="5"/>
  <c r="H22" i="5"/>
  <c r="P21" i="5"/>
  <c r="Q21" i="5" s="1"/>
  <c r="N21" i="5"/>
  <c r="H21" i="5"/>
  <c r="I21" i="5" s="1"/>
  <c r="P20" i="5"/>
  <c r="Q20" i="5" s="1"/>
  <c r="N20" i="5"/>
  <c r="H20" i="5"/>
  <c r="P19" i="5"/>
  <c r="Q19" i="5" s="1"/>
  <c r="N19" i="5"/>
  <c r="H19" i="5"/>
  <c r="H18" i="5" s="1"/>
  <c r="G18" i="5"/>
  <c r="E18" i="5"/>
  <c r="F18" i="5" s="1"/>
  <c r="P17" i="5"/>
  <c r="Q17" i="5" s="1"/>
  <c r="N17" i="5"/>
  <c r="H17" i="5"/>
  <c r="I17" i="5" s="1"/>
  <c r="P16" i="5"/>
  <c r="Q16" i="5" s="1"/>
  <c r="N16" i="5"/>
  <c r="H16" i="5"/>
  <c r="P15" i="5"/>
  <c r="Q15" i="5" s="1"/>
  <c r="N15" i="5"/>
  <c r="H15" i="5"/>
  <c r="H13" i="5" s="1"/>
  <c r="P14" i="5"/>
  <c r="Q14" i="5" s="1"/>
  <c r="N14" i="5"/>
  <c r="H14" i="5"/>
  <c r="G13" i="5"/>
  <c r="E13" i="5"/>
  <c r="F13" i="5" s="1"/>
  <c r="Q12" i="5"/>
  <c r="P12" i="5"/>
  <c r="N12" i="5"/>
  <c r="H12" i="5"/>
  <c r="P11" i="5"/>
  <c r="Q11" i="5" s="1"/>
  <c r="N11" i="5"/>
  <c r="H11" i="5"/>
  <c r="H9" i="5" s="1"/>
  <c r="P10" i="5"/>
  <c r="Q10" i="5" s="1"/>
  <c r="N10" i="5"/>
  <c r="H10" i="5"/>
  <c r="G9" i="5"/>
  <c r="E9" i="5"/>
  <c r="F9" i="5" s="1"/>
  <c r="D8" i="5"/>
  <c r="C8" i="5"/>
  <c r="P7" i="5"/>
  <c r="Q7" i="5" s="1"/>
  <c r="N7" i="5"/>
  <c r="E7" i="5"/>
  <c r="P6" i="5"/>
  <c r="Q6" i="5" s="1"/>
  <c r="N6" i="5"/>
  <c r="E6" i="5"/>
  <c r="D5" i="5"/>
  <c r="C5" i="5"/>
  <c r="B4" i="5"/>
  <c r="P36" i="3"/>
  <c r="Q36" i="3" s="1"/>
  <c r="N36" i="3"/>
  <c r="H36" i="3"/>
  <c r="P35" i="3"/>
  <c r="Q35" i="3" s="1"/>
  <c r="N35" i="3"/>
  <c r="H35" i="3"/>
  <c r="P34" i="3"/>
  <c r="Q34" i="3" s="1"/>
  <c r="N34" i="3"/>
  <c r="H34" i="3"/>
  <c r="G33" i="3"/>
  <c r="E33" i="3"/>
  <c r="P32" i="3"/>
  <c r="Q32" i="3" s="1"/>
  <c r="N32" i="3"/>
  <c r="H32" i="3"/>
  <c r="P31" i="3"/>
  <c r="Q31" i="3" s="1"/>
  <c r="N31" i="3"/>
  <c r="H31" i="3"/>
  <c r="P30" i="3"/>
  <c r="Q30" i="3" s="1"/>
  <c r="N30" i="3"/>
  <c r="H30" i="3"/>
  <c r="P29" i="3"/>
  <c r="Q29" i="3" s="1"/>
  <c r="N29" i="3"/>
  <c r="H29" i="3"/>
  <c r="H28" i="3" s="1"/>
  <c r="G28" i="3"/>
  <c r="E28" i="3"/>
  <c r="D27" i="3"/>
  <c r="C27" i="3"/>
  <c r="P26" i="3"/>
  <c r="Q26" i="3" s="1"/>
  <c r="N26" i="3"/>
  <c r="E26" i="3"/>
  <c r="Q25" i="3"/>
  <c r="P25" i="3"/>
  <c r="N25" i="3"/>
  <c r="H25" i="3"/>
  <c r="P24" i="3"/>
  <c r="Q24" i="3" s="1"/>
  <c r="N24" i="3"/>
  <c r="H24" i="3"/>
  <c r="P23" i="3"/>
  <c r="Q23" i="3" s="1"/>
  <c r="N23" i="3"/>
  <c r="H23" i="3"/>
  <c r="Q22" i="3"/>
  <c r="P22" i="3"/>
  <c r="N22" i="3"/>
  <c r="H22" i="3"/>
  <c r="P21" i="3"/>
  <c r="Q21" i="3" s="1"/>
  <c r="N21" i="3"/>
  <c r="H21" i="3"/>
  <c r="P20" i="3"/>
  <c r="Q20" i="3" s="1"/>
  <c r="N20" i="3"/>
  <c r="H20" i="3"/>
  <c r="P19" i="3"/>
  <c r="Q19" i="3" s="1"/>
  <c r="N19" i="3"/>
  <c r="H19" i="3"/>
  <c r="G18" i="3"/>
  <c r="E18" i="3"/>
  <c r="P17" i="3"/>
  <c r="Q17" i="3" s="1"/>
  <c r="N17" i="3"/>
  <c r="H17" i="3"/>
  <c r="P16" i="3"/>
  <c r="Q16" i="3" s="1"/>
  <c r="N16" i="3"/>
  <c r="H16" i="3"/>
  <c r="P15" i="3"/>
  <c r="Q15" i="3" s="1"/>
  <c r="N15" i="3"/>
  <c r="H15" i="3"/>
  <c r="P14" i="3"/>
  <c r="Q14" i="3" s="1"/>
  <c r="N14" i="3"/>
  <c r="H14" i="3"/>
  <c r="H13" i="3" s="1"/>
  <c r="G13" i="3"/>
  <c r="E13" i="3"/>
  <c r="P12" i="3"/>
  <c r="Q12" i="3" s="1"/>
  <c r="N12" i="3"/>
  <c r="H12" i="3"/>
  <c r="P11" i="3"/>
  <c r="Q11" i="3" s="1"/>
  <c r="N11" i="3"/>
  <c r="H11" i="3"/>
  <c r="P10" i="3"/>
  <c r="Q10" i="3" s="1"/>
  <c r="N10" i="3"/>
  <c r="H10" i="3"/>
  <c r="G9" i="3"/>
  <c r="E9" i="3"/>
  <c r="D8" i="3"/>
  <c r="C8" i="3"/>
  <c r="P7" i="3"/>
  <c r="Q7" i="3" s="1"/>
  <c r="N7" i="3"/>
  <c r="E7" i="3"/>
  <c r="P6" i="3"/>
  <c r="Q6" i="3" s="1"/>
  <c r="N6" i="3"/>
  <c r="E6" i="3"/>
  <c r="D5" i="3"/>
  <c r="C5" i="3"/>
  <c r="B4" i="3"/>
  <c r="I10" i="5" l="1"/>
  <c r="F33" i="5"/>
  <c r="I34" i="5" s="1"/>
  <c r="F6" i="5"/>
  <c r="F28" i="5"/>
  <c r="F27" i="5" s="1"/>
  <c r="F7" i="5"/>
  <c r="I7" i="5" s="1"/>
  <c r="F9" i="3"/>
  <c r="I12" i="3" s="1"/>
  <c r="F6" i="3"/>
  <c r="I6" i="3" s="1"/>
  <c r="F7" i="3"/>
  <c r="I7" i="3" s="1"/>
  <c r="F26" i="3"/>
  <c r="I26" i="3" s="1"/>
  <c r="F28" i="3"/>
  <c r="I29" i="3" s="1"/>
  <c r="F18" i="3"/>
  <c r="I23" i="3" s="1"/>
  <c r="I22" i="6"/>
  <c r="I24" i="6"/>
  <c r="I6" i="6"/>
  <c r="F5" i="6"/>
  <c r="F4" i="6"/>
  <c r="F27" i="6"/>
  <c r="I29" i="6"/>
  <c r="I16" i="6"/>
  <c r="I14" i="6"/>
  <c r="I19" i="6"/>
  <c r="I35" i="6"/>
  <c r="I30" i="6"/>
  <c r="I20" i="6"/>
  <c r="I25" i="6"/>
  <c r="I36" i="6"/>
  <c r="I12" i="6"/>
  <c r="F8" i="6"/>
  <c r="I31" i="6"/>
  <c r="I15" i="6"/>
  <c r="E5" i="6"/>
  <c r="E8" i="6"/>
  <c r="H18" i="6"/>
  <c r="H28" i="6"/>
  <c r="I11" i="6"/>
  <c r="I6" i="5"/>
  <c r="I24" i="5"/>
  <c r="I19" i="5"/>
  <c r="I22" i="5"/>
  <c r="I29" i="5"/>
  <c r="I16" i="5"/>
  <c r="I14" i="5"/>
  <c r="I35" i="5"/>
  <c r="I30" i="5"/>
  <c r="I20" i="5"/>
  <c r="I25" i="5"/>
  <c r="I12" i="5"/>
  <c r="F8" i="5"/>
  <c r="I31" i="5"/>
  <c r="I11" i="5"/>
  <c r="I15" i="5"/>
  <c r="E5" i="5"/>
  <c r="E8" i="5"/>
  <c r="H28" i="5"/>
  <c r="E8" i="3"/>
  <c r="H33" i="3"/>
  <c r="F13" i="3"/>
  <c r="I16" i="3" s="1"/>
  <c r="I15" i="3"/>
  <c r="I22" i="3"/>
  <c r="C4" i="3"/>
  <c r="I17" i="3"/>
  <c r="F33" i="3"/>
  <c r="I34" i="3" s="1"/>
  <c r="I25" i="3"/>
  <c r="I20" i="3"/>
  <c r="I31" i="3"/>
  <c r="I21" i="3"/>
  <c r="E27" i="3"/>
  <c r="E5" i="3"/>
  <c r="H18" i="3"/>
  <c r="H9" i="3"/>
  <c r="F5" i="5" l="1"/>
  <c r="F4" i="5"/>
  <c r="I36" i="5"/>
  <c r="I32" i="5"/>
  <c r="I4" i="5" s="1"/>
  <c r="I11" i="3"/>
  <c r="I10" i="3"/>
  <c r="F8" i="3"/>
  <c r="I30" i="3"/>
  <c r="I24" i="3"/>
  <c r="I19" i="3"/>
  <c r="F5" i="3"/>
  <c r="I35" i="3"/>
  <c r="I32" i="3"/>
  <c r="I36" i="3"/>
  <c r="I38" i="6"/>
  <c r="I4" i="6"/>
  <c r="I38" i="5"/>
  <c r="F4" i="3"/>
  <c r="F27" i="3"/>
  <c r="I14" i="3"/>
  <c r="I38" i="3" l="1"/>
  <c r="I4" i="3"/>
</calcChain>
</file>

<file path=xl/sharedStrings.xml><?xml version="1.0" encoding="utf-8"?>
<sst xmlns="http://schemas.openxmlformats.org/spreadsheetml/2006/main" count="495" uniqueCount="148">
  <si>
    <t>Stock Agent — Strategy Configuration</t>
  </si>
  <si>
    <t>Layout</t>
  </si>
  <si>
    <t xml:space="preserve">       Row 1   Title</t>
  </si>
  <si>
    <t xml:space="preserve">       Row 2   Legend (yellow = inputs)</t>
  </si>
  <si>
    <t xml:space="preserve">       Row 3   Column headers (yellow header = input column, blue header = calculated)</t>
  </si>
  <si>
    <t xml:space="preserve">       Row 4   Totals — sums of each '% of GPA' column. Should equal 100% in C, F, and I.</t>
  </si>
  <si>
    <t xml:space="preserve">       Row 5+  The tree: Categories → Subcategories → Components</t>
  </si>
  <si>
    <t>Three % of GPA columns, each sums to 100%</t>
  </si>
  <si>
    <t xml:space="preserve">       Column C  Cat % of GPA           (3 category rows, sums to 100%)</t>
  </si>
  <si>
    <t xml:space="preserve">       Column F  Subcat % of GPA        (subcategory + merged rows, sums to 100%)</t>
  </si>
  <si>
    <t xml:space="preserve">       Column I  Component % of GPA     (leaf rows — components plus merged subcats — sums to 100%)</t>
  </si>
  <si>
    <t>Children-total cells on parent rows</t>
  </si>
  <si>
    <t>Parent rows display a small italic sum of their children's normalized values in the child-level columns. These should always read 100% (auto-normalization). They're shown as subtle gray italics — not red.</t>
  </si>
  <si>
    <t>Rollup math</t>
  </si>
  <si>
    <t xml:space="preserve">       Cat normalized            = Cat input / sum of cat inputs              (= Cat % of GPA)</t>
  </si>
  <si>
    <t xml:space="preserve">       Subcat normalized         = Subcat input / sum of subcats in same cat   (Column E, per-parent 100%)</t>
  </si>
  <si>
    <t xml:space="preserve">       Subcat % of GPA           = Subcat normalized × Cat % of GPA            (Column F)</t>
  </si>
  <si>
    <t xml:space="preserve">       Comp normalized           = Comp input / sum of comps in same subcat    (Column H, per-parent 100%)</t>
  </si>
  <si>
    <t xml:space="preserve">       Comp % of GPA             = Comp normalized × Subcat % of GPA           (Column I, sums to 100%)</t>
  </si>
  <si>
    <t>Single-component subcategories (AV News, Reddit, Analysts) are merged into one row — they carry the subcategory weight in D and their component threshold inputs.</t>
  </si>
  <si>
    <t>Try-a-value &amp; grades</t>
  </si>
  <si>
    <t>Each leaf row has Try Value column — type a sample number, get the Grade (A/B/C/D color-coded) and Score (4/3/2/1) instantly.</t>
  </si>
  <si>
    <t>Missing data — app's responsibility</t>
  </si>
  <si>
    <t>Exclude any unfetchable component and renormalize the others. Do NOT default to a C.</t>
  </si>
  <si>
    <t>Saved Strategies</t>
  </si>
  <si>
    <t>Active</t>
  </si>
  <si>
    <t>Strategy Name</t>
  </si>
  <si>
    <t>Sheet Name</t>
  </si>
  <si>
    <t>Description</t>
  </si>
  <si>
    <t>Last Modified</t>
  </si>
  <si>
    <t>YES</t>
  </si>
  <si>
    <t>Default</t>
  </si>
  <si>
    <t>Tree with three rollup columns and verification totals at top.</t>
  </si>
  <si>
    <t>2026-05-14</t>
  </si>
  <si>
    <t>How to add a strategy:</t>
  </si>
  <si>
    <t>1) Right-click Default tab → Move or Copy → Create a copy → rename.</t>
  </si>
  <si>
    <t>2) Add a row here with the strategy's name (B) and sheet name (C).</t>
  </si>
  <si>
    <t>3) Set ACTIVE = YES on exactly one row.</t>
  </si>
  <si>
    <t>Strategy: Default</t>
  </si>
  <si>
    <t>EDIT YELLOW CELLS ONLY — everything else is calculated automatically. Use + buttons or 1/2/3 outline (top-left) to collapse the tree.</t>
  </si>
  <si>
    <t>Item</t>
  </si>
  <si>
    <t>Higher = Better?</t>
  </si>
  <si>
    <t>x boundary</t>
  </si>
  <si>
    <t>y boundary</t>
  </si>
  <si>
    <t>z boundary</t>
  </si>
  <si>
    <t>A–D Rule</t>
  </si>
  <si>
    <t>Grade</t>
  </si>
  <si>
    <t>Score</t>
  </si>
  <si>
    <t>Source</t>
  </si>
  <si>
    <t>Data Key</t>
  </si>
  <si>
    <t>Notes</t>
  </si>
  <si>
    <t>Totals</t>
  </si>
  <si>
    <t>Sentiment</t>
  </si>
  <si>
    <t>AV News Sentiment Score</t>
  </si>
  <si>
    <t>Yes</t>
  </si>
  <si>
    <t>Alpha Vantage</t>
  </si>
  <si>
    <t>av_news_sentiment_score</t>
  </si>
  <si>
    <t>AV NEWS_SENTIMENT bullish-bearish score (-1 to +1)</t>
  </si>
  <si>
    <t>Reddit Sentiment Score</t>
  </si>
  <si>
    <t>Reddit API</t>
  </si>
  <si>
    <t>reddit_sentiment_score</t>
  </si>
  <si>
    <t>Mean compound polarity of mentions (-1 to +1)</t>
  </si>
  <si>
    <t>Fundamentals</t>
  </si>
  <si>
    <t>Valuation</t>
  </si>
  <si>
    <t>P/E ttm</t>
  </si>
  <si>
    <t>No</t>
  </si>
  <si>
    <t>yfinance</t>
  </si>
  <si>
    <t>trailingPE</t>
  </si>
  <si>
    <t>Trailing twelve-month P/E</t>
  </si>
  <si>
    <t>PEG</t>
  </si>
  <si>
    <t>pegRatio</t>
  </si>
  <si>
    <t>Price/Earnings to Growth</t>
  </si>
  <si>
    <t>EV/EBITDA</t>
  </si>
  <si>
    <t>enterpriseToEbitda</t>
  </si>
  <si>
    <t>Enterprise Value / EBITDA</t>
  </si>
  <si>
    <t>Financials</t>
  </si>
  <si>
    <t>ROE %</t>
  </si>
  <si>
    <t>returnOnEquity</t>
  </si>
  <si>
    <t>Return on Equity (percent)</t>
  </si>
  <si>
    <t>Earnings Growth LFY %</t>
  </si>
  <si>
    <t>earningsGrowth</t>
  </si>
  <si>
    <t>YoY earnings growth, last fiscal year</t>
  </si>
  <si>
    <t>Debt/Equity</t>
  </si>
  <si>
    <t>debtToEquity</t>
  </si>
  <si>
    <t>Total debt / total equity (ratio)</t>
  </si>
  <si>
    <t>Dividend Yield %</t>
  </si>
  <si>
    <t>dividendYield</t>
  </si>
  <si>
    <t>Forward dividend yield (percent)</t>
  </si>
  <si>
    <t>Estimates</t>
  </si>
  <si>
    <t>Beat Rate % (last 4 Q)</t>
  </si>
  <si>
    <t>earnings_history_beat_pct</t>
  </si>
  <si>
    <t>Percent of last 4 quarters beating consensus</t>
  </si>
  <si>
    <t>Est Revision Trend %</t>
  </si>
  <si>
    <t>estimate_revision_up_pct</t>
  </si>
  <si>
    <t>Percent of estimates revised up over last 30 days</t>
  </si>
  <si>
    <t>Est Current Qtr Growth %</t>
  </si>
  <si>
    <t>earningsQuarterlyGrowth</t>
  </si>
  <si>
    <t>Expected YoY growth current quarter</t>
  </si>
  <si>
    <t>Est Next Qtr Growth %</t>
  </si>
  <si>
    <t>earningsNextQuarterGrowth</t>
  </si>
  <si>
    <t>Expected YoY growth next quarter</t>
  </si>
  <si>
    <t>Est Current Yr Growth %</t>
  </si>
  <si>
    <t>earningsCurrentYearGrowth</t>
  </si>
  <si>
    <t>Expected YoY growth current fiscal year</t>
  </si>
  <si>
    <t>Est Next Yr Growth %</t>
  </si>
  <si>
    <t>earningsNextYearGrowth</t>
  </si>
  <si>
    <t>Expected YoY growth next fiscal year</t>
  </si>
  <si>
    <t>Est 5yr Growth %</t>
  </si>
  <si>
    <t>earningsLongTermGrowth</t>
  </si>
  <si>
    <t>Long-term (~5yr) consensus growth</t>
  </si>
  <si>
    <t>Analyst Buy Rating</t>
  </si>
  <si>
    <t>recommendationMean</t>
  </si>
  <si>
    <t>Mean analyst rec (1=Strong Buy, 5=Strong Sell)</t>
  </si>
  <si>
    <t>Technical</t>
  </si>
  <si>
    <t>Trend</t>
  </si>
  <si>
    <t>3 Mo Trend Slope %/day</t>
  </si>
  <si>
    <t>yfinance (calc)</t>
  </si>
  <si>
    <t>trend_3mo_slope_pct</t>
  </si>
  <si>
    <t>Daily % from linear regression last ~63 days</t>
  </si>
  <si>
    <t>1 Yr Trend Slope %/day</t>
  </si>
  <si>
    <t>trend_1yr_slope_pct</t>
  </si>
  <si>
    <t>Daily % from linear regression last ~252 days</t>
  </si>
  <si>
    <t>Price vs 50d MA %</t>
  </si>
  <si>
    <t>price_vs_sma50_pct</t>
  </si>
  <si>
    <t>(Close - SMA50)/SMA50 × 100</t>
  </si>
  <si>
    <t>Price vs 200d MA %</t>
  </si>
  <si>
    <t>price_vs_sma200_pct</t>
  </si>
  <si>
    <t>(Close - SMA200)/SMA200 × 100</t>
  </si>
  <si>
    <t>Oscillators</t>
  </si>
  <si>
    <t>MACD Histogram</t>
  </si>
  <si>
    <t>macd_hist_value</t>
  </si>
  <si>
    <t>MACD histogram value</t>
  </si>
  <si>
    <t>Stochastics %K</t>
  </si>
  <si>
    <t>stoch_k</t>
  </si>
  <si>
    <t>%K of 14-day Stochastic</t>
  </si>
  <si>
    <t>RSI</t>
  </si>
  <si>
    <t>rsi_14</t>
  </si>
  <si>
    <t>14-day RSI</t>
  </si>
  <si>
    <t>Category</t>
  </si>
  <si>
    <t>Normalized Category</t>
  </si>
  <si>
    <t>Subcategory</t>
  </si>
  <si>
    <t>Normalized Subcategory</t>
  </si>
  <si>
    <t>Component</t>
  </si>
  <si>
    <t>Normalized Component</t>
  </si>
  <si>
    <t>% of GPA</t>
  </si>
  <si>
    <t>Test Value</t>
  </si>
  <si>
    <t>Subcategory Totals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</si>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</sst>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color rgb="FF2F5496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b/>
      <sz val="11"/>
      <color rgb="FF7F6000"/>
      <name val="Arial"/>
      <charset val="1"/>
    </font>
    <font>
      <b/>
      <sz val="10"/>
      <color rgb="FF7F6000"/>
      <name val="Arial"/>
      <charset val="1"/>
    </font>
    <font>
      <b/>
      <sz val="11"/>
      <color rgb="FF375623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9"/>
      <color rgb="FFD9E1F2"/>
      <name val="Arial"/>
      <charset val="1"/>
    </font>
    <font>
      <sz val="10"/>
      <color rgb="FF000000"/>
      <name val="Arial"/>
      <charset val="1"/>
    </font>
    <font>
      <sz val="9"/>
      <color rgb="FF595959"/>
      <name val="Arial"/>
      <charset val="1"/>
    </font>
    <font>
      <i/>
      <sz val="9"/>
      <color rgb="FF595959"/>
      <name val="Arial"/>
      <charset val="1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FFE699"/>
        <bgColor rgb="FFFFEB84"/>
      </patternFill>
    </fill>
    <fill>
      <patternFill patternType="solid">
        <fgColor rgb="FFE2EFDA"/>
        <bgColor rgb="FFDDEBF7"/>
      </patternFill>
    </fill>
    <fill>
      <patternFill patternType="solid">
        <fgColor rgb="FFC6EFCE"/>
        <bgColor rgb="FFE2EFDA"/>
      </patternFill>
    </fill>
    <fill>
      <patternFill patternType="solid">
        <fgColor rgb="FF305496"/>
        <bgColor rgb="FF2F5496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 indent="1"/>
    </xf>
    <xf numFmtId="164" fontId="10" fillId="6" borderId="1" xfId="0" applyNumberFormat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2" fillId="8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164" fontId="12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0" fontId="10" fillId="9" borderId="1" xfId="0" applyFont="1" applyFill="1" applyBorder="1" applyAlignment="1">
      <alignment horizontal="left" vertical="center" indent="2"/>
    </xf>
    <xf numFmtId="0" fontId="0" fillId="9" borderId="1" xfId="0" applyFill="1" applyBorder="1"/>
    <xf numFmtId="164" fontId="13" fillId="9" borderId="1" xfId="0" applyNumberFormat="1" applyFont="1" applyFill="1" applyBorder="1" applyAlignment="1">
      <alignment horizontal="center" vertical="center" wrapText="1"/>
    </xf>
    <xf numFmtId="164" fontId="10" fillId="9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/>
    <xf numFmtId="164" fontId="15" fillId="9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indent="4"/>
    </xf>
    <xf numFmtId="0" fontId="0" fillId="0" borderId="1" xfId="0" applyBorder="1"/>
    <xf numFmtId="164" fontId="13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" fillId="2" borderId="0" xfId="0" applyFont="1" applyFill="1"/>
    <xf numFmtId="0" fontId="7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72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6E2A1"/>
        </patternFill>
      </fill>
    </dxf>
    <dxf>
      <fill>
        <patternFill>
          <bgColor rgb="FF63BE7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8696B"/>
      <rgbColor rgb="FF2F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84"/>
      <rgbColor rgb="FFB6E2A1"/>
      <rgbColor rgb="FFFF99CC"/>
      <rgbColor rgb="FFD9E1F2"/>
      <rgbColor rgb="FFFFE6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zoomScaleNormal="100" workbookViewId="0"/>
  </sheetViews>
  <sheetFormatPr defaultColWidth="8.7109375" defaultRowHeight="15" x14ac:dyDescent="0.25"/>
  <cols>
    <col min="1" max="1" width="120" customWidth="1"/>
  </cols>
  <sheetData>
    <row r="1" spans="1:1" ht="24" customHeight="1" x14ac:dyDescent="0.25">
      <c r="A1" s="1" t="s">
        <v>0</v>
      </c>
    </row>
    <row r="3" spans="1:1" ht="15.75" x14ac:dyDescent="0.25">
      <c r="A3" s="2" t="s">
        <v>1</v>
      </c>
    </row>
    <row r="5" spans="1:1" x14ac:dyDescent="0.25">
      <c r="A5" s="3" t="s">
        <v>2</v>
      </c>
    </row>
    <row r="6" spans="1:1" x14ac:dyDescent="0.25">
      <c r="A6" s="3" t="s">
        <v>3</v>
      </c>
    </row>
    <row r="7" spans="1:1" x14ac:dyDescent="0.25">
      <c r="A7" s="3" t="s">
        <v>4</v>
      </c>
    </row>
    <row r="8" spans="1:1" x14ac:dyDescent="0.25">
      <c r="A8" s="3" t="s">
        <v>5</v>
      </c>
    </row>
    <row r="9" spans="1:1" x14ac:dyDescent="0.25">
      <c r="A9" s="3" t="s">
        <v>6</v>
      </c>
    </row>
    <row r="11" spans="1:1" ht="15.75" x14ac:dyDescent="0.25">
      <c r="A11" s="2" t="s">
        <v>7</v>
      </c>
    </row>
    <row r="13" spans="1:1" x14ac:dyDescent="0.25">
      <c r="A13" s="3" t="s">
        <v>8</v>
      </c>
    </row>
    <row r="14" spans="1:1" x14ac:dyDescent="0.25">
      <c r="A14" s="3" t="s">
        <v>9</v>
      </c>
    </row>
    <row r="15" spans="1:1" x14ac:dyDescent="0.25">
      <c r="A15" s="3" t="s">
        <v>10</v>
      </c>
    </row>
    <row r="17" spans="1:1" ht="15.75" x14ac:dyDescent="0.25">
      <c r="A17" s="2" t="s">
        <v>11</v>
      </c>
    </row>
    <row r="19" spans="1:1" x14ac:dyDescent="0.25">
      <c r="A19" s="3" t="s">
        <v>12</v>
      </c>
    </row>
    <row r="21" spans="1:1" ht="15.75" x14ac:dyDescent="0.25">
      <c r="A21" s="2" t="s">
        <v>13</v>
      </c>
    </row>
    <row r="23" spans="1:1" x14ac:dyDescent="0.25">
      <c r="A23" s="3" t="s">
        <v>14</v>
      </c>
    </row>
    <row r="24" spans="1:1" x14ac:dyDescent="0.25">
      <c r="A24" s="3" t="s">
        <v>15</v>
      </c>
    </row>
    <row r="25" spans="1:1" x14ac:dyDescent="0.25">
      <c r="A25" s="3" t="s">
        <v>16</v>
      </c>
    </row>
    <row r="26" spans="1:1" x14ac:dyDescent="0.25">
      <c r="A26" s="3" t="s">
        <v>17</v>
      </c>
    </row>
    <row r="27" spans="1:1" x14ac:dyDescent="0.25">
      <c r="A27" s="3" t="s">
        <v>18</v>
      </c>
    </row>
    <row r="29" spans="1:1" x14ac:dyDescent="0.25">
      <c r="A29" s="3" t="s">
        <v>19</v>
      </c>
    </row>
    <row r="31" spans="1:1" ht="15.75" x14ac:dyDescent="0.25">
      <c r="A31" s="2" t="s">
        <v>20</v>
      </c>
    </row>
    <row r="33" spans="1:1" x14ac:dyDescent="0.25">
      <c r="A33" s="3" t="s">
        <v>21</v>
      </c>
    </row>
    <row r="35" spans="1:1" ht="15.75" x14ac:dyDescent="0.25">
      <c r="A35" s="2" t="s">
        <v>22</v>
      </c>
    </row>
    <row r="37" spans="1:1" x14ac:dyDescent="0.25">
      <c r="A37" s="3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Normal="100" workbookViewId="0">
      <selection activeCell="B12" sqref="B12"/>
    </sheetView>
  </sheetViews>
  <sheetFormatPr defaultColWidth="8.7109375" defaultRowHeight="15" x14ac:dyDescent="0.25"/>
  <cols>
    <col min="1" max="1" width="10" customWidth="1"/>
    <col min="2" max="2" width="26" customWidth="1"/>
    <col min="3" max="3" width="22" customWidth="1"/>
    <col min="4" max="4" width="60" customWidth="1"/>
    <col min="5" max="5" width="16" customWidth="1"/>
  </cols>
  <sheetData>
    <row r="1" spans="1:5" ht="21.75" customHeight="1" x14ac:dyDescent="0.25">
      <c r="A1" s="39" t="s">
        <v>24</v>
      </c>
      <c r="B1" s="39"/>
      <c r="C1" s="39"/>
      <c r="D1" s="39"/>
      <c r="E1" s="39"/>
    </row>
    <row r="3" spans="1:5" x14ac:dyDescent="0.25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</row>
    <row r="4" spans="1:5" x14ac:dyDescent="0.25">
      <c r="A4" s="5" t="s">
        <v>30</v>
      </c>
      <c r="B4" s="6" t="s">
        <v>31</v>
      </c>
      <c r="C4" s="6" t="s">
        <v>31</v>
      </c>
      <c r="D4" s="6" t="s">
        <v>32</v>
      </c>
      <c r="E4" s="6" t="s">
        <v>33</v>
      </c>
    </row>
    <row r="5" spans="1:5" x14ac:dyDescent="0.25">
      <c r="A5" s="36"/>
      <c r="B5" s="35"/>
      <c r="C5" s="35"/>
      <c r="D5" s="35"/>
      <c r="E5" s="35"/>
    </row>
    <row r="6" spans="1:5" x14ac:dyDescent="0.25">
      <c r="A6" s="36"/>
      <c r="B6" s="35"/>
      <c r="C6" s="35"/>
      <c r="D6" s="35"/>
      <c r="E6" s="35"/>
    </row>
    <row r="7" spans="1:5" x14ac:dyDescent="0.25">
      <c r="A7" s="36"/>
      <c r="B7" s="35"/>
      <c r="C7" s="35"/>
      <c r="D7" s="35"/>
      <c r="E7" s="35"/>
    </row>
    <row r="9" spans="1:5" x14ac:dyDescent="0.25">
      <c r="A9" s="7" t="s">
        <v>34</v>
      </c>
    </row>
    <row r="10" spans="1:5" x14ac:dyDescent="0.25">
      <c r="A10" s="3" t="s">
        <v>35</v>
      </c>
    </row>
    <row r="11" spans="1:5" x14ac:dyDescent="0.25">
      <c r="A11" s="3" t="s">
        <v>36</v>
      </c>
    </row>
    <row r="12" spans="1:5" x14ac:dyDescent="0.25">
      <c r="A12" s="3" t="s">
        <v>37</v>
      </c>
    </row>
  </sheetData>
  <mergeCells count="1">
    <mergeCell ref="A1:E1"/>
  </mergeCells>
  <dataValidations count="1">
    <dataValidation type="list" allowBlank="1" sqref="A4:A53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U38"/>
  <sheetViews>
    <sheetView zoomScaleNormal="100" workbookViewId="0">
      <pane ySplit="4" topLeftCell="A5" activePane="bottomLeft" state="frozen"/>
      <selection pane="bottomLeft" activeCell="B5" sqref="B5"/>
    </sheetView>
  </sheetViews>
  <sheetFormatPr defaultColWidth="8.7109375" defaultRowHeight="15" outlineLevelRow="2" outlineLevelCol="1" x14ac:dyDescent="0.25"/>
  <cols>
    <col min="1" max="1" width="34" customWidth="1"/>
    <col min="2" max="2" width="11" customWidth="1"/>
    <col min="3" max="3" width="11.42578125" customWidth="1"/>
    <col min="4" max="4" width="12.5703125" customWidth="1"/>
    <col min="5" max="5" width="12.42578125" customWidth="1"/>
    <col min="6" max="6" width="13" customWidth="1"/>
    <col min="7" max="7" width="11.7109375" customWidth="1"/>
    <col min="8" max="9" width="12" customWidth="1"/>
    <col min="10" max="10" width="8.5703125" customWidth="1"/>
    <col min="11" max="13" width="9.5703125" customWidth="1"/>
    <col min="14" max="14" width="38.28515625" customWidth="1"/>
    <col min="15" max="15" width="10" customWidth="1"/>
    <col min="16" max="17" width="8" customWidth="1"/>
    <col min="18" max="18" width="14" hidden="1" customWidth="1" outlineLevel="1"/>
    <col min="19" max="19" width="22" hidden="1" customWidth="1" outlineLevel="1"/>
    <col min="20" max="20" width="42" hidden="1" customWidth="1" outlineLevel="1"/>
    <col min="21" max="21" width="8.7109375" collapsed="1"/>
  </cols>
  <sheetData>
    <row r="1" spans="1:20" ht="25.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4" customHeight="1" x14ac:dyDescent="0.25">
      <c r="A2" s="40" t="s">
        <v>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31.5" customHeight="1" x14ac:dyDescent="0.25">
      <c r="A3" s="4" t="s">
        <v>40</v>
      </c>
      <c r="B3" s="8" t="s">
        <v>138</v>
      </c>
      <c r="C3" s="4" t="s">
        <v>139</v>
      </c>
      <c r="D3" s="8" t="s">
        <v>140</v>
      </c>
      <c r="E3" s="4" t="s">
        <v>141</v>
      </c>
      <c r="F3" s="4" t="s">
        <v>146</v>
      </c>
      <c r="G3" s="8" t="s">
        <v>142</v>
      </c>
      <c r="H3" s="4" t="s">
        <v>143</v>
      </c>
      <c r="I3" s="4" t="s">
        <v>144</v>
      </c>
      <c r="J3" s="8" t="s">
        <v>41</v>
      </c>
      <c r="K3" s="8" t="s">
        <v>42</v>
      </c>
      <c r="L3" s="8" t="s">
        <v>43</v>
      </c>
      <c r="M3" s="8" t="s">
        <v>44</v>
      </c>
      <c r="N3" s="4" t="s">
        <v>45</v>
      </c>
      <c r="O3" s="8" t="s">
        <v>145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</row>
    <row r="4" spans="1:20" ht="21.75" customHeight="1" x14ac:dyDescent="0.25">
      <c r="A4" s="9" t="s">
        <v>51</v>
      </c>
      <c r="B4" s="10">
        <f>B5+B8+B27</f>
        <v>1</v>
      </c>
      <c r="C4" s="11">
        <f>C5+C8+C27</f>
        <v>1</v>
      </c>
      <c r="D4" s="12"/>
      <c r="E4" s="12"/>
      <c r="F4" s="11">
        <f>F6+F7+F9+F13+F18+F26+F28+F33</f>
        <v>1</v>
      </c>
      <c r="G4" s="12"/>
      <c r="H4" s="12"/>
      <c r="I4" s="11">
        <f>I6+I7+I10+I11+I12+I14+I15+I16+I17+I19+I20+I21+I22+I23+I24+I25+I26+I29+I30+I31+I32+I34+I35+I36</f>
        <v>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24" customHeight="1" x14ac:dyDescent="0.25">
      <c r="A5" s="13" t="s">
        <v>52</v>
      </c>
      <c r="B5" s="14">
        <v>0.33</v>
      </c>
      <c r="C5" s="15">
        <f>IFERROR(B5/SUM(B5,B8,B27),0)</f>
        <v>0.33</v>
      </c>
      <c r="D5" s="16">
        <f>D6+D7</f>
        <v>1</v>
      </c>
      <c r="E5" s="16">
        <f>E6+E7</f>
        <v>1</v>
      </c>
      <c r="F5" s="16">
        <f>F6+F7</f>
        <v>0.33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outlineLevel="1" x14ac:dyDescent="0.25">
      <c r="A6" s="18" t="s">
        <v>53</v>
      </c>
      <c r="B6" s="19"/>
      <c r="C6" s="19"/>
      <c r="D6" s="14">
        <v>0.5</v>
      </c>
      <c r="E6" s="20">
        <f>IFERROR(D6/SUM(D6,D7),0)</f>
        <v>0.5</v>
      </c>
      <c r="F6" s="21">
        <f>E6*$C$5</f>
        <v>0.16500000000000001</v>
      </c>
      <c r="G6" s="19"/>
      <c r="H6" s="19"/>
      <c r="I6" s="21">
        <f>F6</f>
        <v>0.16500000000000001</v>
      </c>
      <c r="J6" s="5" t="s">
        <v>54</v>
      </c>
      <c r="K6" s="5">
        <v>0.35</v>
      </c>
      <c r="L6" s="5">
        <v>0.15</v>
      </c>
      <c r="M6" s="5">
        <v>0</v>
      </c>
      <c r="N6" s="22" t="str">
        <f>IF(J6="Yes","A: ≥ "&amp;K6&amp;"  |  B: "&amp;L6&amp;"-"&amp;K6&amp;"  |  C: "&amp;M6&amp;"-"&amp;L6&amp;"  |  D: &lt; "&amp;M6,"A: ≤ "&amp;K6&amp;"  |  B: "&amp;K6&amp;"-"&amp;L6&amp;"  |  C: "&amp;L6&amp;"-"&amp;M6&amp;"  |  D: &gt; "&amp;M6)</f>
        <v>A: ≥ 0.35  |  B: 0.15-0.35  |  C: 0-0.15  |  D: &lt; 0</v>
      </c>
      <c r="O6" s="5">
        <v>0.2</v>
      </c>
      <c r="P6" s="23" t="str">
        <f>IF(ISBLANK(O6),"",IF(J6="Yes",IF(O6&gt;K6,"A",IF(O6&gt;L6,"B",IF(O6&gt;M6,"C","D"))),IF(O6&lt;K6,"A",IF(O6&lt;L6,"B",IF(O6&lt;M6,"C","D")))))</f>
        <v>B</v>
      </c>
      <c r="Q6" s="24">
        <f>IF(P6="A",4,IF(P6="B",3,IF(P6="C",2,IF(P6="D",1,""))))</f>
        <v>3</v>
      </c>
      <c r="R6" s="25" t="s">
        <v>55</v>
      </c>
      <c r="S6" s="25" t="s">
        <v>56</v>
      </c>
      <c r="T6" s="25" t="s">
        <v>57</v>
      </c>
    </row>
    <row r="7" spans="1:20" outlineLevel="1" x14ac:dyDescent="0.25">
      <c r="A7" s="18" t="s">
        <v>58</v>
      </c>
      <c r="B7" s="19"/>
      <c r="C7" s="19"/>
      <c r="D7" s="14">
        <v>0.5</v>
      </c>
      <c r="E7" s="20">
        <f>IFERROR(D7/SUM(D6,D7),0)</f>
        <v>0.5</v>
      </c>
      <c r="F7" s="21">
        <f>E7*$C$5</f>
        <v>0.16500000000000001</v>
      </c>
      <c r="G7" s="19"/>
      <c r="H7" s="19"/>
      <c r="I7" s="21">
        <f>F7</f>
        <v>0.16500000000000001</v>
      </c>
      <c r="J7" s="5" t="s">
        <v>54</v>
      </c>
      <c r="K7" s="5">
        <v>0.5</v>
      </c>
      <c r="L7" s="5">
        <v>0.2</v>
      </c>
      <c r="M7" s="5">
        <v>0</v>
      </c>
      <c r="N7" s="22" t="str">
        <f>IF(J7="Yes","A: ≥ "&amp;K7&amp;"  |  B: "&amp;L7&amp;"-"&amp;K7&amp;"  |  C: "&amp;M7&amp;"-"&amp;L7&amp;"  |  D: &lt; "&amp;M7,"A: ≤ "&amp;K7&amp;"  |  B: "&amp;K7&amp;"-"&amp;L7&amp;"  |  C: "&amp;L7&amp;"-"&amp;M7&amp;"  |  D: &gt; "&amp;M7)</f>
        <v>A: ≥ 0.5  |  B: 0.2-0.5  |  C: 0-0.2  |  D: &lt; 0</v>
      </c>
      <c r="O7" s="5">
        <v>0.25</v>
      </c>
      <c r="P7" s="23" t="str">
        <f>IF(ISBLANK(O7),"",IF(J7="Yes",IF(O7&gt;K7,"A",IF(O7&gt;L7,"B",IF(O7&gt;M7,"C","D"))),IF(O7&lt;K7,"A",IF(O7&lt;L7,"B",IF(O7&lt;M7,"C","D")))))</f>
        <v>B</v>
      </c>
      <c r="Q7" s="24">
        <f>IF(P7="A",4,IF(P7="B",3,IF(P7="C",2,IF(P7="D",1,""))))</f>
        <v>3</v>
      </c>
      <c r="R7" s="25" t="s">
        <v>59</v>
      </c>
      <c r="S7" s="25" t="s">
        <v>60</v>
      </c>
      <c r="T7" s="25" t="s">
        <v>61</v>
      </c>
    </row>
    <row r="8" spans="1:20" ht="24" customHeight="1" x14ac:dyDescent="0.25">
      <c r="A8" s="13" t="s">
        <v>62</v>
      </c>
      <c r="B8" s="14">
        <v>0.33</v>
      </c>
      <c r="C8" s="15">
        <f>IFERROR(B8/SUM(B5,B8,B27),0)</f>
        <v>0.33</v>
      </c>
      <c r="D8" s="16">
        <f>D9+D13+D18+D26</f>
        <v>1</v>
      </c>
      <c r="E8" s="16">
        <f>E9+E13+E18+E26</f>
        <v>1</v>
      </c>
      <c r="F8" s="16">
        <f>F9+F13+F18+F26</f>
        <v>0.33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outlineLevel="1" x14ac:dyDescent="0.25">
      <c r="A9" s="18" t="s">
        <v>63</v>
      </c>
      <c r="B9" s="19"/>
      <c r="C9" s="19"/>
      <c r="D9" s="14">
        <v>0.25</v>
      </c>
      <c r="E9" s="20">
        <f>IFERROR(D9/SUM(D9,D13,D18,D26),0)</f>
        <v>0.25</v>
      </c>
      <c r="F9" s="21">
        <f>E9*$C$8</f>
        <v>8.2500000000000004E-2</v>
      </c>
      <c r="G9" s="26">
        <f>SUM(G10:G12)</f>
        <v>1</v>
      </c>
      <c r="H9" s="26">
        <f>SUM(H10:H12)</f>
        <v>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outlineLevel="2" x14ac:dyDescent="0.25">
      <c r="A10" s="27" t="s">
        <v>64</v>
      </c>
      <c r="B10" s="28"/>
      <c r="C10" s="28"/>
      <c r="D10" s="28"/>
      <c r="E10" s="28"/>
      <c r="F10" s="28"/>
      <c r="G10" s="14">
        <v>0.33</v>
      </c>
      <c r="H10" s="29">
        <f>IFERROR(G10/SUM($G$10:$G$12),0)</f>
        <v>0.33</v>
      </c>
      <c r="I10" s="30">
        <f>H10*$F$9</f>
        <v>2.7225000000000003E-2</v>
      </c>
      <c r="J10" s="5" t="s">
        <v>65</v>
      </c>
      <c r="K10" s="5">
        <v>10</v>
      </c>
      <c r="L10" s="5">
        <v>20</v>
      </c>
      <c r="M10" s="5">
        <v>30</v>
      </c>
      <c r="N10" s="31" t="str">
        <f>IF(J10="Yes","A: ≥ "&amp;K10&amp;"  |  B: "&amp;L10&amp;"-"&amp;K10&amp;"  |  C: "&amp;M10&amp;"-"&amp;L10&amp;"  |  D: &lt; "&amp;M10,"A: ≤ "&amp;K10&amp;"  |  B: "&amp;K10&amp;"-"&amp;L10&amp;"  |  C: "&amp;L10&amp;"-"&amp;M10&amp;"  |  D: &gt; "&amp;M10)</f>
        <v>A: ≤ 10  |  B: 10-20  |  C: 20-30  |  D: &gt; 30</v>
      </c>
      <c r="O10" s="5">
        <v>15</v>
      </c>
      <c r="P10" s="32" t="str">
        <f>IF(ISBLANK(O10),"",IF(J10="Yes",IF(O10&gt;K10,"A",IF(O10&gt;L10,"B",IF(O10&gt;M10,"C","D"))),IF(O10&lt;K10,"A",IF(O10&lt;L10,"B",IF(O10&lt;M10,"C","D")))))</f>
        <v>B</v>
      </c>
      <c r="Q10" s="33">
        <f>IF(P10="A",4,IF(P10="B",3,IF(P10="C",2,IF(P10="D",1,""))))</f>
        <v>3</v>
      </c>
      <c r="R10" s="34" t="s">
        <v>66</v>
      </c>
      <c r="S10" s="34" t="s">
        <v>67</v>
      </c>
      <c r="T10" s="34" t="s">
        <v>68</v>
      </c>
    </row>
    <row r="11" spans="1:20" outlineLevel="2" x14ac:dyDescent="0.25">
      <c r="A11" s="27" t="s">
        <v>69</v>
      </c>
      <c r="B11" s="28"/>
      <c r="C11" s="28"/>
      <c r="D11" s="28"/>
      <c r="E11" s="28"/>
      <c r="F11" s="28"/>
      <c r="G11" s="14">
        <v>0.33</v>
      </c>
      <c r="H11" s="29">
        <f>IFERROR(G11/SUM($G$10:$G$12),0)</f>
        <v>0.33</v>
      </c>
      <c r="I11" s="30">
        <f>H11*$F$9</f>
        <v>2.7225000000000003E-2</v>
      </c>
      <c r="J11" s="5" t="s">
        <v>65</v>
      </c>
      <c r="K11" s="5">
        <v>1</v>
      </c>
      <c r="L11" s="5">
        <v>1.5</v>
      </c>
      <c r="M11" s="5">
        <v>2</v>
      </c>
      <c r="N11" s="31" t="str">
        <f>IF(J11="Yes","A: ≥ "&amp;K11&amp;"  |  B: "&amp;L11&amp;"-"&amp;K11&amp;"  |  C: "&amp;M11&amp;"-"&amp;L11&amp;"  |  D: &lt; "&amp;M11,"A: ≤ "&amp;K11&amp;"  |  B: "&amp;K11&amp;"-"&amp;L11&amp;"  |  C: "&amp;L11&amp;"-"&amp;M11&amp;"  |  D: &gt; "&amp;M11)</f>
        <v>A: ≤ 1  |  B: 1-1.5  |  C: 1.5-2  |  D: &gt; 2</v>
      </c>
      <c r="O11" s="5">
        <v>2.5</v>
      </c>
      <c r="P11" s="32" t="str">
        <f>IF(ISBLANK(O11),"",IF(J11="Yes",IF(O11&gt;K11,"A",IF(O11&gt;L11,"B",IF(O11&gt;M11,"C","D"))),IF(O11&lt;K11,"A",IF(O11&lt;L11,"B",IF(O11&lt;M11,"C","D")))))</f>
        <v>D</v>
      </c>
      <c r="Q11" s="33">
        <f>IF(P11="A",4,IF(P11="B",3,IF(P11="C",2,IF(P11="D",1,""))))</f>
        <v>1</v>
      </c>
      <c r="R11" s="34" t="s">
        <v>66</v>
      </c>
      <c r="S11" s="34" t="s">
        <v>70</v>
      </c>
      <c r="T11" s="34" t="s">
        <v>71</v>
      </c>
    </row>
    <row r="12" spans="1:20" outlineLevel="2" x14ac:dyDescent="0.25">
      <c r="A12" s="27" t="s">
        <v>72</v>
      </c>
      <c r="B12" s="28"/>
      <c r="C12" s="28"/>
      <c r="D12" s="28"/>
      <c r="E12" s="28"/>
      <c r="F12" s="28"/>
      <c r="G12" s="14">
        <v>0.34</v>
      </c>
      <c r="H12" s="29">
        <f>IFERROR(G12/SUM($G$10:$G$12),0)</f>
        <v>0.34</v>
      </c>
      <c r="I12" s="30">
        <f>H12*$F$9</f>
        <v>2.8050000000000002E-2</v>
      </c>
      <c r="J12" s="5" t="s">
        <v>65</v>
      </c>
      <c r="K12" s="5">
        <v>10</v>
      </c>
      <c r="L12" s="5">
        <v>15</v>
      </c>
      <c r="M12" s="5">
        <v>20</v>
      </c>
      <c r="N12" s="31" t="str">
        <f>IF(J12="Yes","A: ≥ "&amp;K12&amp;"  |  B: "&amp;L12&amp;"-"&amp;K12&amp;"  |  C: "&amp;M12&amp;"-"&amp;L12&amp;"  |  D: &lt; "&amp;M12,"A: ≤ "&amp;K12&amp;"  |  B: "&amp;K12&amp;"-"&amp;L12&amp;"  |  C: "&amp;L12&amp;"-"&amp;M12&amp;"  |  D: &gt; "&amp;M12)</f>
        <v>A: ≤ 10  |  B: 10-15  |  C: 15-20  |  D: &gt; 20</v>
      </c>
      <c r="O12" s="5">
        <v>12</v>
      </c>
      <c r="P12" s="32" t="str">
        <f>IF(ISBLANK(O12),"",IF(J12="Yes",IF(O12&gt;K12,"A",IF(O12&gt;L12,"B",IF(O12&gt;M12,"C","D"))),IF(O12&lt;K12,"A",IF(O12&lt;L12,"B",IF(O12&lt;M12,"C","D")))))</f>
        <v>B</v>
      </c>
      <c r="Q12" s="33">
        <f>IF(P12="A",4,IF(P12="B",3,IF(P12="C",2,IF(P12="D",1,""))))</f>
        <v>3</v>
      </c>
      <c r="R12" s="34" t="s">
        <v>66</v>
      </c>
      <c r="S12" s="34" t="s">
        <v>73</v>
      </c>
      <c r="T12" s="34" t="s">
        <v>74</v>
      </c>
    </row>
    <row r="13" spans="1:20" outlineLevel="1" x14ac:dyDescent="0.25">
      <c r="A13" s="18" t="s">
        <v>75</v>
      </c>
      <c r="B13" s="19"/>
      <c r="C13" s="19"/>
      <c r="D13" s="14">
        <v>0.25</v>
      </c>
      <c r="E13" s="20">
        <f>IFERROR(D13/SUM(D9,D13,D18,D26),0)</f>
        <v>0.25</v>
      </c>
      <c r="F13" s="21">
        <f>E13*$C$8</f>
        <v>8.2500000000000004E-2</v>
      </c>
      <c r="G13" s="26">
        <f>SUM(G14:G17)</f>
        <v>1</v>
      </c>
      <c r="H13" s="26">
        <f>SUM(H14:H17)</f>
        <v>1</v>
      </c>
      <c r="I13" s="2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outlineLevel="2" x14ac:dyDescent="0.25">
      <c r="A14" s="27" t="s">
        <v>76</v>
      </c>
      <c r="B14" s="28"/>
      <c r="C14" s="28"/>
      <c r="D14" s="28"/>
      <c r="E14" s="28"/>
      <c r="F14" s="28"/>
      <c r="G14" s="14">
        <v>0.25</v>
      </c>
      <c r="H14" s="29">
        <f>IFERROR(G14/SUM($G$14:$G$17),0)</f>
        <v>0.25</v>
      </c>
      <c r="I14" s="30">
        <f>H14*$F$13</f>
        <v>2.0625000000000001E-2</v>
      </c>
      <c r="J14" s="5" t="s">
        <v>54</v>
      </c>
      <c r="K14" s="5">
        <v>25</v>
      </c>
      <c r="L14" s="5">
        <v>15</v>
      </c>
      <c r="M14" s="5">
        <v>5</v>
      </c>
      <c r="N14" s="31" t="str">
        <f>IF(J14="Yes","A: ≥ "&amp;K14&amp;"  |  B: "&amp;L14&amp;"-"&amp;K14&amp;"  |  C: "&amp;M14&amp;"-"&amp;L14&amp;"  |  D: &lt; "&amp;M14,"A: ≤ "&amp;K14&amp;"  |  B: "&amp;K14&amp;"-"&amp;L14&amp;"  |  C: "&amp;L14&amp;"-"&amp;M14&amp;"  |  D: &gt; "&amp;M14)</f>
        <v>A: ≥ 25  |  B: 15-25  |  C: 5-15  |  D: &lt; 5</v>
      </c>
      <c r="O14" s="5">
        <v>18</v>
      </c>
      <c r="P14" s="32" t="str">
        <f>IF(ISBLANK(O14),"",IF(J14="Yes",IF(O14&gt;K14,"A",IF(O14&gt;L14,"B",IF(O14&gt;M14,"C","D"))),IF(O14&lt;K14,"A",IF(O14&lt;L14,"B",IF(O14&lt;M14,"C","D")))))</f>
        <v>B</v>
      </c>
      <c r="Q14" s="33">
        <f>IF(P14="A",4,IF(P14="B",3,IF(P14="C",2,IF(P14="D",1,""))))</f>
        <v>3</v>
      </c>
      <c r="R14" s="34" t="s">
        <v>66</v>
      </c>
      <c r="S14" s="34" t="s">
        <v>77</v>
      </c>
      <c r="T14" s="34" t="s">
        <v>78</v>
      </c>
    </row>
    <row r="15" spans="1:20" outlineLevel="2" x14ac:dyDescent="0.25">
      <c r="A15" s="27" t="s">
        <v>79</v>
      </c>
      <c r="B15" s="28"/>
      <c r="C15" s="28"/>
      <c r="D15" s="28"/>
      <c r="E15" s="28"/>
      <c r="F15" s="28"/>
      <c r="G15" s="14">
        <v>0.25</v>
      </c>
      <c r="H15" s="29">
        <f>IFERROR(G15/SUM($G$14:$G$17),0)</f>
        <v>0.25</v>
      </c>
      <c r="I15" s="30">
        <f>H15*$F$13</f>
        <v>2.0625000000000001E-2</v>
      </c>
      <c r="J15" s="5" t="s">
        <v>54</v>
      </c>
      <c r="K15" s="5">
        <v>25</v>
      </c>
      <c r="L15" s="5">
        <v>15</v>
      </c>
      <c r="M15" s="5">
        <v>5</v>
      </c>
      <c r="N15" s="31" t="str">
        <f>IF(J15="Yes","A: ≥ "&amp;K15&amp;"  |  B: "&amp;L15&amp;"-"&amp;K15&amp;"  |  C: "&amp;M15&amp;"-"&amp;L15&amp;"  |  D: &lt; "&amp;M15,"A: ≤ "&amp;K15&amp;"  |  B: "&amp;K15&amp;"-"&amp;L15&amp;"  |  C: "&amp;L15&amp;"-"&amp;M15&amp;"  |  D: &gt; "&amp;M15)</f>
        <v>A: ≥ 25  |  B: 15-25  |  C: 5-15  |  D: &lt; 5</v>
      </c>
      <c r="O15" s="5">
        <v>12</v>
      </c>
      <c r="P15" s="32" t="str">
        <f>IF(ISBLANK(O15),"",IF(J15="Yes",IF(O15&gt;K15,"A",IF(O15&gt;L15,"B",IF(O15&gt;M15,"C","D"))),IF(O15&lt;K15,"A",IF(O15&lt;L15,"B",IF(O15&lt;M15,"C","D")))))</f>
        <v>C</v>
      </c>
      <c r="Q15" s="33">
        <f>IF(P15="A",4,IF(P15="B",3,IF(P15="C",2,IF(P15="D",1,""))))</f>
        <v>2</v>
      </c>
      <c r="R15" s="34" t="s">
        <v>66</v>
      </c>
      <c r="S15" s="34" t="s">
        <v>80</v>
      </c>
      <c r="T15" s="34" t="s">
        <v>81</v>
      </c>
    </row>
    <row r="16" spans="1:20" outlineLevel="2" x14ac:dyDescent="0.25">
      <c r="A16" s="27" t="s">
        <v>82</v>
      </c>
      <c r="B16" s="28"/>
      <c r="C16" s="28"/>
      <c r="D16" s="28"/>
      <c r="E16" s="28"/>
      <c r="F16" s="28"/>
      <c r="G16" s="14">
        <v>0.25</v>
      </c>
      <c r="H16" s="29">
        <f>IFERROR(G16/SUM($G$14:$G$17),0)</f>
        <v>0.25</v>
      </c>
      <c r="I16" s="30">
        <f>H16*$F$13</f>
        <v>2.0625000000000001E-2</v>
      </c>
      <c r="J16" s="5" t="s">
        <v>65</v>
      </c>
      <c r="K16" s="5">
        <v>0</v>
      </c>
      <c r="L16" s="5">
        <v>0.5</v>
      </c>
      <c r="M16" s="5">
        <v>1</v>
      </c>
      <c r="N16" s="31" t="str">
        <f>IF(J16="Yes","A: ≥ "&amp;K16&amp;"  |  B: "&amp;L16&amp;"-"&amp;K16&amp;"  |  C: "&amp;M16&amp;"-"&amp;L16&amp;"  |  D: &lt; "&amp;M16,"A: ≤ "&amp;K16&amp;"  |  B: "&amp;K16&amp;"-"&amp;L16&amp;"  |  C: "&amp;L16&amp;"-"&amp;M16&amp;"  |  D: &gt; "&amp;M16)</f>
        <v>A: ≤ 0  |  B: 0-0.5  |  C: 0.5-1  |  D: &gt; 1</v>
      </c>
      <c r="O16" s="5">
        <v>0.4</v>
      </c>
      <c r="P16" s="32" t="str">
        <f>IF(ISBLANK(O16),"",IF(J16="Yes",IF(O16&gt;K16,"A",IF(O16&gt;L16,"B",IF(O16&gt;M16,"C","D"))),IF(O16&lt;K16,"A",IF(O16&lt;L16,"B",IF(O16&lt;M16,"C","D")))))</f>
        <v>B</v>
      </c>
      <c r="Q16" s="33">
        <f>IF(P16="A",4,IF(P16="B",3,IF(P16="C",2,IF(P16="D",1,""))))</f>
        <v>3</v>
      </c>
      <c r="R16" s="34" t="s">
        <v>66</v>
      </c>
      <c r="S16" s="34" t="s">
        <v>83</v>
      </c>
      <c r="T16" s="34" t="s">
        <v>84</v>
      </c>
    </row>
    <row r="17" spans="1:20" outlineLevel="2" x14ac:dyDescent="0.25">
      <c r="A17" s="27" t="s">
        <v>85</v>
      </c>
      <c r="B17" s="28"/>
      <c r="C17" s="28"/>
      <c r="D17" s="28"/>
      <c r="E17" s="28"/>
      <c r="F17" s="28"/>
      <c r="G17" s="14">
        <v>0.25</v>
      </c>
      <c r="H17" s="29">
        <f>IFERROR(G17/SUM($G$14:$G$17),0)</f>
        <v>0.25</v>
      </c>
      <c r="I17" s="30">
        <f>H17*$F$13</f>
        <v>2.0625000000000001E-2</v>
      </c>
      <c r="J17" s="5" t="s">
        <v>54</v>
      </c>
      <c r="K17" s="5">
        <v>4</v>
      </c>
      <c r="L17" s="5">
        <v>2</v>
      </c>
      <c r="M17" s="5">
        <v>0.01</v>
      </c>
      <c r="N17" s="31" t="str">
        <f>IF(J17="Yes","A: ≥ "&amp;K17&amp;"  |  B: "&amp;L17&amp;"-"&amp;K17&amp;"  |  C: "&amp;M17&amp;"-"&amp;L17&amp;"  |  D: &lt; "&amp;M17,"A: ≤ "&amp;K17&amp;"  |  B: "&amp;K17&amp;"-"&amp;L17&amp;"  |  C: "&amp;L17&amp;"-"&amp;M17&amp;"  |  D: &gt; "&amp;M17)</f>
        <v>A: ≥ 4  |  B: 2-4  |  C: 0.01-2  |  D: &lt; 0.01</v>
      </c>
      <c r="O17" s="5">
        <v>2.5</v>
      </c>
      <c r="P17" s="32" t="str">
        <f>IF(ISBLANK(O17),"",IF(J17="Yes",IF(O17&gt;K17,"A",IF(O17&gt;L17,"B",IF(O17&gt;M17,"C","D"))),IF(O17&lt;K17,"A",IF(O17&lt;L17,"B",IF(O17&lt;M17,"C","D")))))</f>
        <v>B</v>
      </c>
      <c r="Q17" s="33">
        <f>IF(P17="A",4,IF(P17="B",3,IF(P17="C",2,IF(P17="D",1,""))))</f>
        <v>3</v>
      </c>
      <c r="R17" s="34" t="s">
        <v>66</v>
      </c>
      <c r="S17" s="34" t="s">
        <v>86</v>
      </c>
      <c r="T17" s="34" t="s">
        <v>87</v>
      </c>
    </row>
    <row r="18" spans="1:20" outlineLevel="1" x14ac:dyDescent="0.25">
      <c r="A18" s="18" t="s">
        <v>88</v>
      </c>
      <c r="B18" s="19"/>
      <c r="C18" s="19"/>
      <c r="D18" s="14">
        <v>0.25</v>
      </c>
      <c r="E18" s="20">
        <f>IFERROR(D18/SUM(D9,D13,D18,D26),0)</f>
        <v>0.25</v>
      </c>
      <c r="F18" s="21">
        <f>E18*$C$8</f>
        <v>8.2500000000000004E-2</v>
      </c>
      <c r="G18" s="26">
        <f>SUM(G19:G25)</f>
        <v>1</v>
      </c>
      <c r="H18" s="26">
        <f>SUM(H19:H25)</f>
        <v>1</v>
      </c>
      <c r="I18" s="2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outlineLevel="2" x14ac:dyDescent="0.25">
      <c r="A19" s="27" t="s">
        <v>89</v>
      </c>
      <c r="B19" s="28"/>
      <c r="C19" s="28"/>
      <c r="D19" s="28"/>
      <c r="E19" s="28"/>
      <c r="F19" s="28"/>
      <c r="G19" s="14">
        <v>0.15</v>
      </c>
      <c r="H19" s="29">
        <f t="shared" ref="H19:H25" si="0">IFERROR(G19/SUM($G$19:$G$25),0)</f>
        <v>0.15</v>
      </c>
      <c r="I19" s="30">
        <f t="shared" ref="I19:I25" si="1">H19*$F$18</f>
        <v>1.2375000000000001E-2</v>
      </c>
      <c r="J19" s="5" t="s">
        <v>54</v>
      </c>
      <c r="K19" s="5">
        <v>75</v>
      </c>
      <c r="L19" s="5">
        <v>50</v>
      </c>
      <c r="M19" s="5">
        <v>25</v>
      </c>
      <c r="N19" s="31" t="str">
        <f t="shared" ref="N19:N26" si="2">IF(J19="Yes","A: ≥ "&amp;K19&amp;"  |  B: "&amp;L19&amp;"-"&amp;K19&amp;"  |  C: "&amp;M19&amp;"-"&amp;L19&amp;"  |  D: &lt; "&amp;M19,"A: ≤ "&amp;K19&amp;"  |  B: "&amp;K19&amp;"-"&amp;L19&amp;"  |  C: "&amp;L19&amp;"-"&amp;M19&amp;"  |  D: &gt; "&amp;M19)</f>
        <v>A: ≥ 75  |  B: 50-75  |  C: 25-50  |  D: &lt; 25</v>
      </c>
      <c r="O19" s="5">
        <v>75</v>
      </c>
      <c r="P19" s="32" t="str">
        <f t="shared" ref="P19:P26" si="3">IF(ISBLANK(O19),"",IF(J19="Yes",IF(O19&gt;K19,"A",IF(O19&gt;L19,"B",IF(O19&gt;M19,"C","D"))),IF(O19&lt;K19,"A",IF(O19&lt;L19,"B",IF(O19&lt;M19,"C","D")))))</f>
        <v>B</v>
      </c>
      <c r="Q19" s="33">
        <f t="shared" ref="Q19:Q26" si="4">IF(P19="A",4,IF(P19="B",3,IF(P19="C",2,IF(P19="D",1,""))))</f>
        <v>3</v>
      </c>
      <c r="R19" s="34" t="s">
        <v>66</v>
      </c>
      <c r="S19" s="34" t="s">
        <v>90</v>
      </c>
      <c r="T19" s="34" t="s">
        <v>91</v>
      </c>
    </row>
    <row r="20" spans="1:20" outlineLevel="2" x14ac:dyDescent="0.25">
      <c r="A20" s="27" t="s">
        <v>92</v>
      </c>
      <c r="B20" s="28"/>
      <c r="C20" s="28"/>
      <c r="D20" s="28"/>
      <c r="E20" s="28"/>
      <c r="F20" s="28"/>
      <c r="G20" s="14">
        <v>0.15</v>
      </c>
      <c r="H20" s="29">
        <f t="shared" si="0"/>
        <v>0.15</v>
      </c>
      <c r="I20" s="30">
        <f t="shared" si="1"/>
        <v>1.2375000000000001E-2</v>
      </c>
      <c r="J20" s="5" t="s">
        <v>54</v>
      </c>
      <c r="K20" s="5">
        <v>75</v>
      </c>
      <c r="L20" s="5">
        <v>50</v>
      </c>
      <c r="M20" s="5">
        <v>25</v>
      </c>
      <c r="N20" s="31" t="str">
        <f t="shared" si="2"/>
        <v>A: ≥ 75  |  B: 50-75  |  C: 25-50  |  D: &lt; 25</v>
      </c>
      <c r="O20" s="5">
        <v>55</v>
      </c>
      <c r="P20" s="32" t="str">
        <f t="shared" si="3"/>
        <v>B</v>
      </c>
      <c r="Q20" s="33">
        <f t="shared" si="4"/>
        <v>3</v>
      </c>
      <c r="R20" s="34" t="s">
        <v>66</v>
      </c>
      <c r="S20" s="34" t="s">
        <v>93</v>
      </c>
      <c r="T20" s="34" t="s">
        <v>94</v>
      </c>
    </row>
    <row r="21" spans="1:20" outlineLevel="2" x14ac:dyDescent="0.25">
      <c r="A21" s="27" t="s">
        <v>95</v>
      </c>
      <c r="B21" s="28"/>
      <c r="C21" s="28"/>
      <c r="D21" s="28"/>
      <c r="E21" s="28"/>
      <c r="F21" s="28"/>
      <c r="G21" s="14">
        <v>0.14000000000000001</v>
      </c>
      <c r="H21" s="29">
        <f t="shared" si="0"/>
        <v>0.14000000000000001</v>
      </c>
      <c r="I21" s="30">
        <f t="shared" si="1"/>
        <v>1.1550000000000001E-2</v>
      </c>
      <c r="J21" s="5" t="s">
        <v>54</v>
      </c>
      <c r="K21" s="5">
        <v>20</v>
      </c>
      <c r="L21" s="5">
        <v>10</v>
      </c>
      <c r="M21" s="5">
        <v>0</v>
      </c>
      <c r="N21" s="31" t="str">
        <f t="shared" si="2"/>
        <v>A: ≥ 20  |  B: 10-20  |  C: 0-10  |  D: &lt; 0</v>
      </c>
      <c r="O21" s="5">
        <v>12</v>
      </c>
      <c r="P21" s="32" t="str">
        <f t="shared" si="3"/>
        <v>B</v>
      </c>
      <c r="Q21" s="33">
        <f t="shared" si="4"/>
        <v>3</v>
      </c>
      <c r="R21" s="34" t="s">
        <v>66</v>
      </c>
      <c r="S21" s="34" t="s">
        <v>96</v>
      </c>
      <c r="T21" s="34" t="s">
        <v>97</v>
      </c>
    </row>
    <row r="22" spans="1:20" outlineLevel="2" x14ac:dyDescent="0.25">
      <c r="A22" s="27" t="s">
        <v>98</v>
      </c>
      <c r="B22" s="28"/>
      <c r="C22" s="28"/>
      <c r="D22" s="28"/>
      <c r="E22" s="28"/>
      <c r="F22" s="28"/>
      <c r="G22" s="14">
        <v>0.14000000000000001</v>
      </c>
      <c r="H22" s="29">
        <f t="shared" si="0"/>
        <v>0.14000000000000001</v>
      </c>
      <c r="I22" s="30">
        <f t="shared" si="1"/>
        <v>1.1550000000000001E-2</v>
      </c>
      <c r="J22" s="5" t="s">
        <v>54</v>
      </c>
      <c r="K22" s="5">
        <v>20</v>
      </c>
      <c r="L22" s="5">
        <v>10</v>
      </c>
      <c r="M22" s="5">
        <v>0</v>
      </c>
      <c r="N22" s="31" t="str">
        <f t="shared" si="2"/>
        <v>A: ≥ 20  |  B: 10-20  |  C: 0-10  |  D: &lt; 0</v>
      </c>
      <c r="O22" s="5">
        <v>18</v>
      </c>
      <c r="P22" s="32" t="str">
        <f t="shared" si="3"/>
        <v>B</v>
      </c>
      <c r="Q22" s="33">
        <f t="shared" si="4"/>
        <v>3</v>
      </c>
      <c r="R22" s="34" t="s">
        <v>66</v>
      </c>
      <c r="S22" s="34" t="s">
        <v>99</v>
      </c>
      <c r="T22" s="34" t="s">
        <v>100</v>
      </c>
    </row>
    <row r="23" spans="1:20" outlineLevel="2" x14ac:dyDescent="0.25">
      <c r="A23" s="27" t="s">
        <v>101</v>
      </c>
      <c r="B23" s="28"/>
      <c r="C23" s="28"/>
      <c r="D23" s="28"/>
      <c r="E23" s="28"/>
      <c r="F23" s="28"/>
      <c r="G23" s="14">
        <v>0.14000000000000001</v>
      </c>
      <c r="H23" s="29">
        <f t="shared" si="0"/>
        <v>0.14000000000000001</v>
      </c>
      <c r="I23" s="30">
        <f t="shared" si="1"/>
        <v>1.1550000000000001E-2</v>
      </c>
      <c r="J23" s="5" t="s">
        <v>54</v>
      </c>
      <c r="K23" s="5">
        <v>20</v>
      </c>
      <c r="L23" s="5">
        <v>10</v>
      </c>
      <c r="M23" s="5">
        <v>0</v>
      </c>
      <c r="N23" s="31" t="str">
        <f t="shared" si="2"/>
        <v>A: ≥ 20  |  B: 10-20  |  C: 0-10  |  D: &lt; 0</v>
      </c>
      <c r="O23" s="5">
        <v>2</v>
      </c>
      <c r="P23" s="32" t="str">
        <f t="shared" si="3"/>
        <v>C</v>
      </c>
      <c r="Q23" s="33">
        <f t="shared" si="4"/>
        <v>2</v>
      </c>
      <c r="R23" s="34" t="s">
        <v>66</v>
      </c>
      <c r="S23" s="34" t="s">
        <v>102</v>
      </c>
      <c r="T23" s="34" t="s">
        <v>103</v>
      </c>
    </row>
    <row r="24" spans="1:20" outlineLevel="2" x14ac:dyDescent="0.25">
      <c r="A24" s="27" t="s">
        <v>104</v>
      </c>
      <c r="B24" s="28"/>
      <c r="C24" s="28"/>
      <c r="D24" s="28"/>
      <c r="E24" s="28"/>
      <c r="F24" s="28"/>
      <c r="G24" s="14">
        <v>0.14000000000000001</v>
      </c>
      <c r="H24" s="29">
        <f t="shared" si="0"/>
        <v>0.14000000000000001</v>
      </c>
      <c r="I24" s="30">
        <f t="shared" si="1"/>
        <v>1.1550000000000001E-2</v>
      </c>
      <c r="J24" s="5" t="s">
        <v>54</v>
      </c>
      <c r="K24" s="5">
        <v>20</v>
      </c>
      <c r="L24" s="5">
        <v>10</v>
      </c>
      <c r="M24" s="5">
        <v>0</v>
      </c>
      <c r="N24" s="31" t="str">
        <f t="shared" si="2"/>
        <v>A: ≥ 20  |  B: 10-20  |  C: 0-10  |  D: &lt; 0</v>
      </c>
      <c r="O24" s="5">
        <v>22</v>
      </c>
      <c r="P24" s="32" t="str">
        <f t="shared" si="3"/>
        <v>A</v>
      </c>
      <c r="Q24" s="33">
        <f t="shared" si="4"/>
        <v>4</v>
      </c>
      <c r="R24" s="34" t="s">
        <v>66</v>
      </c>
      <c r="S24" s="34" t="s">
        <v>105</v>
      </c>
      <c r="T24" s="34" t="s">
        <v>106</v>
      </c>
    </row>
    <row r="25" spans="1:20" outlineLevel="2" x14ac:dyDescent="0.25">
      <c r="A25" s="27" t="s">
        <v>107</v>
      </c>
      <c r="B25" s="28"/>
      <c r="C25" s="28"/>
      <c r="D25" s="28"/>
      <c r="E25" s="28"/>
      <c r="F25" s="28"/>
      <c r="G25" s="14">
        <v>0.14000000000000001</v>
      </c>
      <c r="H25" s="29">
        <f t="shared" si="0"/>
        <v>0.14000000000000001</v>
      </c>
      <c r="I25" s="30">
        <f t="shared" si="1"/>
        <v>1.1550000000000001E-2</v>
      </c>
      <c r="J25" s="5" t="s">
        <v>54</v>
      </c>
      <c r="K25" s="5">
        <v>20</v>
      </c>
      <c r="L25" s="5">
        <v>10</v>
      </c>
      <c r="M25" s="5">
        <v>0</v>
      </c>
      <c r="N25" s="31" t="str">
        <f t="shared" si="2"/>
        <v>A: ≥ 20  |  B: 10-20  |  C: 0-10  |  D: &lt; 0</v>
      </c>
      <c r="O25" s="5">
        <v>14</v>
      </c>
      <c r="P25" s="32" t="str">
        <f t="shared" si="3"/>
        <v>B</v>
      </c>
      <c r="Q25" s="33">
        <f t="shared" si="4"/>
        <v>3</v>
      </c>
      <c r="R25" s="34" t="s">
        <v>66</v>
      </c>
      <c r="S25" s="34" t="s">
        <v>108</v>
      </c>
      <c r="T25" s="34" t="s">
        <v>109</v>
      </c>
    </row>
    <row r="26" spans="1:20" outlineLevel="1" x14ac:dyDescent="0.25">
      <c r="A26" s="18" t="s">
        <v>110</v>
      </c>
      <c r="B26" s="19"/>
      <c r="C26" s="19"/>
      <c r="D26" s="14">
        <v>0.25</v>
      </c>
      <c r="E26" s="20">
        <f>IFERROR(D26/SUM(D9,D13,D18,D26),0)</f>
        <v>0.25</v>
      </c>
      <c r="F26" s="21">
        <f>E26*$C$8</f>
        <v>8.2500000000000004E-2</v>
      </c>
      <c r="G26" s="19"/>
      <c r="H26" s="19"/>
      <c r="I26" s="21">
        <f>F26</f>
        <v>8.2500000000000004E-2</v>
      </c>
      <c r="J26" s="5" t="s">
        <v>65</v>
      </c>
      <c r="K26" s="5">
        <v>1.5</v>
      </c>
      <c r="L26" s="5">
        <v>2</v>
      </c>
      <c r="M26" s="5">
        <v>2.6</v>
      </c>
      <c r="N26" s="22" t="str">
        <f t="shared" si="2"/>
        <v>A: ≤ 1.5  |  B: 1.5-2  |  C: 2-2.6  |  D: &gt; 2.6</v>
      </c>
      <c r="O26" s="5">
        <v>1.8</v>
      </c>
      <c r="P26" s="23" t="str">
        <f t="shared" si="3"/>
        <v>B</v>
      </c>
      <c r="Q26" s="24">
        <f t="shared" si="4"/>
        <v>3</v>
      </c>
      <c r="R26" s="25" t="s">
        <v>66</v>
      </c>
      <c r="S26" s="25" t="s">
        <v>111</v>
      </c>
      <c r="T26" s="25" t="s">
        <v>112</v>
      </c>
    </row>
    <row r="27" spans="1:20" ht="24" customHeight="1" x14ac:dyDescent="0.25">
      <c r="A27" s="13" t="s">
        <v>113</v>
      </c>
      <c r="B27" s="14">
        <v>0.34</v>
      </c>
      <c r="C27" s="15">
        <f>IFERROR(B27/SUM(B5,B8,B27),0)</f>
        <v>0.34</v>
      </c>
      <c r="D27" s="16">
        <f>D28+D33</f>
        <v>1</v>
      </c>
      <c r="E27" s="16">
        <f>E28+E33</f>
        <v>1</v>
      </c>
      <c r="F27" s="16">
        <f>F28+F33</f>
        <v>0.34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outlineLevel="1" x14ac:dyDescent="0.25">
      <c r="A28" s="18" t="s">
        <v>114</v>
      </c>
      <c r="B28" s="19"/>
      <c r="C28" s="19"/>
      <c r="D28" s="14">
        <v>0.6</v>
      </c>
      <c r="E28" s="20">
        <f>IFERROR(D28/SUM(D28,D33),0)</f>
        <v>0.6</v>
      </c>
      <c r="F28" s="21">
        <f>E28*$C$27</f>
        <v>0.20400000000000001</v>
      </c>
      <c r="G28" s="26">
        <f>SUM(G29:G32)</f>
        <v>1</v>
      </c>
      <c r="H28" s="26">
        <f>SUM(H29:H32)</f>
        <v>1</v>
      </c>
      <c r="I28" s="26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outlineLevel="2" x14ac:dyDescent="0.25">
      <c r="A29" s="27" t="s">
        <v>115</v>
      </c>
      <c r="B29" s="28"/>
      <c r="C29" s="28"/>
      <c r="D29" s="28"/>
      <c r="E29" s="28"/>
      <c r="F29" s="28"/>
      <c r="G29" s="14">
        <v>0.25</v>
      </c>
      <c r="H29" s="29">
        <f>IFERROR(G29/SUM($G$29:$G$32),0)</f>
        <v>0.25</v>
      </c>
      <c r="I29" s="30">
        <f>H29*$F$28</f>
        <v>5.1000000000000004E-2</v>
      </c>
      <c r="J29" s="5" t="s">
        <v>54</v>
      </c>
      <c r="K29" s="5">
        <v>0.2</v>
      </c>
      <c r="L29" s="5">
        <v>0.05</v>
      </c>
      <c r="M29" s="5">
        <v>0</v>
      </c>
      <c r="N29" s="31" t="str">
        <f>IF(J29="Yes","A: ≥ "&amp;K29&amp;"  |  B: "&amp;L29&amp;"-"&amp;K29&amp;"  |  C: "&amp;M29&amp;"-"&amp;L29&amp;"  |  D: &lt; "&amp;M29,"A: ≤ "&amp;K29&amp;"  |  B: "&amp;K29&amp;"-"&amp;L29&amp;"  |  C: "&amp;L29&amp;"-"&amp;M29&amp;"  |  D: &gt; "&amp;M29)</f>
        <v>A: ≥ 0.2  |  B: 0.05-0.2  |  C: 0-0.05  |  D: &lt; 0</v>
      </c>
      <c r="O29" s="5">
        <v>0.1</v>
      </c>
      <c r="P29" s="32" t="str">
        <f>IF(ISBLANK(O29),"",IF(J29="Yes",IF(O29&gt;K29,"A",IF(O29&gt;L29,"B",IF(O29&gt;M29,"C","D"))),IF(O29&lt;K29,"A",IF(O29&lt;L29,"B",IF(O29&lt;M29,"C","D")))))</f>
        <v>B</v>
      </c>
      <c r="Q29" s="33">
        <f>IF(P29="A",4,IF(P29="B",3,IF(P29="C",2,IF(P29="D",1,""))))</f>
        <v>3</v>
      </c>
      <c r="R29" s="34" t="s">
        <v>116</v>
      </c>
      <c r="S29" s="34" t="s">
        <v>117</v>
      </c>
      <c r="T29" s="34" t="s">
        <v>118</v>
      </c>
    </row>
    <row r="30" spans="1:20" outlineLevel="2" x14ac:dyDescent="0.25">
      <c r="A30" s="27" t="s">
        <v>119</v>
      </c>
      <c r="B30" s="28"/>
      <c r="C30" s="28"/>
      <c r="D30" s="28"/>
      <c r="E30" s="28"/>
      <c r="F30" s="28"/>
      <c r="G30" s="14">
        <v>0.25</v>
      </c>
      <c r="H30" s="29">
        <f>IFERROR(G30/SUM($G$29:$G$32),0)</f>
        <v>0.25</v>
      </c>
      <c r="I30" s="30">
        <f>H30*$F$28</f>
        <v>5.1000000000000004E-2</v>
      </c>
      <c r="J30" s="5" t="s">
        <v>54</v>
      </c>
      <c r="K30" s="5">
        <v>0.1</v>
      </c>
      <c r="L30" s="5">
        <v>0.03</v>
      </c>
      <c r="M30" s="5">
        <v>0</v>
      </c>
      <c r="N30" s="31" t="str">
        <f>IF(J30="Yes","A: ≥ "&amp;K30&amp;"  |  B: "&amp;L30&amp;"-"&amp;K30&amp;"  |  C: "&amp;M30&amp;"-"&amp;L30&amp;"  |  D: &lt; "&amp;M30,"A: ≤ "&amp;K30&amp;"  |  B: "&amp;K30&amp;"-"&amp;L30&amp;"  |  C: "&amp;L30&amp;"-"&amp;M30&amp;"  |  D: &gt; "&amp;M30)</f>
        <v>A: ≥ 0.1  |  B: 0.03-0.1  |  C: 0-0.03  |  D: &lt; 0</v>
      </c>
      <c r="O30" s="5">
        <v>0.05</v>
      </c>
      <c r="P30" s="32" t="str">
        <f>IF(ISBLANK(O30),"",IF(J30="Yes",IF(O30&gt;K30,"A",IF(O30&gt;L30,"B",IF(O30&gt;M30,"C","D"))),IF(O30&lt;K30,"A",IF(O30&lt;L30,"B",IF(O30&lt;M30,"C","D")))))</f>
        <v>B</v>
      </c>
      <c r="Q30" s="33">
        <f>IF(P30="A",4,IF(P30="B",3,IF(P30="C",2,IF(P30="D",1,""))))</f>
        <v>3</v>
      </c>
      <c r="R30" s="34" t="s">
        <v>116</v>
      </c>
      <c r="S30" s="34" t="s">
        <v>120</v>
      </c>
      <c r="T30" s="34" t="s">
        <v>121</v>
      </c>
    </row>
    <row r="31" spans="1:20" outlineLevel="2" x14ac:dyDescent="0.25">
      <c r="A31" s="27" t="s">
        <v>122</v>
      </c>
      <c r="B31" s="28"/>
      <c r="C31" s="28"/>
      <c r="D31" s="28"/>
      <c r="E31" s="28"/>
      <c r="F31" s="28"/>
      <c r="G31" s="14">
        <v>0.25</v>
      </c>
      <c r="H31" s="29">
        <f>IFERROR(G31/SUM($G$29:$G$32),0)</f>
        <v>0.25</v>
      </c>
      <c r="I31" s="30">
        <f>H31*$F$28</f>
        <v>5.1000000000000004E-2</v>
      </c>
      <c r="J31" s="5" t="s">
        <v>54</v>
      </c>
      <c r="K31" s="5">
        <v>5</v>
      </c>
      <c r="L31" s="5">
        <v>0</v>
      </c>
      <c r="M31" s="5">
        <v>-5</v>
      </c>
      <c r="N31" s="31" t="str">
        <f>IF(J31="Yes","A: ≥ "&amp;K31&amp;"  |  B: "&amp;L31&amp;"-"&amp;K31&amp;"  |  C: "&amp;M31&amp;"-"&amp;L31&amp;"  |  D: &lt; "&amp;M31,"A: ≤ "&amp;K31&amp;"  |  B: "&amp;K31&amp;"-"&amp;L31&amp;"  |  C: "&amp;L31&amp;"-"&amp;M31&amp;"  |  D: &gt; "&amp;M31)</f>
        <v>A: ≥ 5  |  B: 0-5  |  C: -5-0  |  D: &lt; -5</v>
      </c>
      <c r="O31" s="5">
        <v>3</v>
      </c>
      <c r="P31" s="32" t="str">
        <f>IF(ISBLANK(O31),"",IF(J31="Yes",IF(O31&gt;K31,"A",IF(O31&gt;L31,"B",IF(O31&gt;M31,"C","D"))),IF(O31&lt;K31,"A",IF(O31&lt;L31,"B",IF(O31&lt;M31,"C","D")))))</f>
        <v>B</v>
      </c>
      <c r="Q31" s="33">
        <f>IF(P31="A",4,IF(P31="B",3,IF(P31="C",2,IF(P31="D",1,""))))</f>
        <v>3</v>
      </c>
      <c r="R31" s="34" t="s">
        <v>116</v>
      </c>
      <c r="S31" s="34" t="s">
        <v>123</v>
      </c>
      <c r="T31" s="34" t="s">
        <v>124</v>
      </c>
    </row>
    <row r="32" spans="1:20" outlineLevel="2" x14ac:dyDescent="0.25">
      <c r="A32" s="27" t="s">
        <v>125</v>
      </c>
      <c r="B32" s="28"/>
      <c r="C32" s="28"/>
      <c r="D32" s="28"/>
      <c r="E32" s="28"/>
      <c r="F32" s="28"/>
      <c r="G32" s="14">
        <v>0.25</v>
      </c>
      <c r="H32" s="29">
        <f>IFERROR(G32/SUM($G$29:$G$32),0)</f>
        <v>0.25</v>
      </c>
      <c r="I32" s="30">
        <f>H32*$F$28</f>
        <v>5.1000000000000004E-2</v>
      </c>
      <c r="J32" s="5" t="s">
        <v>54</v>
      </c>
      <c r="K32" s="5">
        <v>5</v>
      </c>
      <c r="L32" s="5">
        <v>0</v>
      </c>
      <c r="M32" s="5">
        <v>-10</v>
      </c>
      <c r="N32" s="31" t="str">
        <f>IF(J32="Yes","A: ≥ "&amp;K32&amp;"  |  B: "&amp;L32&amp;"-"&amp;K32&amp;"  |  C: "&amp;M32&amp;"-"&amp;L32&amp;"  |  D: &lt; "&amp;M32,"A: ≤ "&amp;K32&amp;"  |  B: "&amp;K32&amp;"-"&amp;L32&amp;"  |  C: "&amp;L32&amp;"-"&amp;M32&amp;"  |  D: &gt; "&amp;M32)</f>
        <v>A: ≥ 5  |  B: 0-5  |  C: -10-0  |  D: &lt; -10</v>
      </c>
      <c r="O32" s="5">
        <v>8</v>
      </c>
      <c r="P32" s="32" t="str">
        <f>IF(ISBLANK(O32),"",IF(J32="Yes",IF(O32&gt;K32,"A",IF(O32&gt;L32,"B",IF(O32&gt;M32,"C","D"))),IF(O32&lt;K32,"A",IF(O32&lt;L32,"B",IF(O32&lt;M32,"C","D")))))</f>
        <v>A</v>
      </c>
      <c r="Q32" s="33">
        <f>IF(P32="A",4,IF(P32="B",3,IF(P32="C",2,IF(P32="D",1,""))))</f>
        <v>4</v>
      </c>
      <c r="R32" s="34" t="s">
        <v>116</v>
      </c>
      <c r="S32" s="34" t="s">
        <v>126</v>
      </c>
      <c r="T32" s="34" t="s">
        <v>127</v>
      </c>
    </row>
    <row r="33" spans="1:20" outlineLevel="1" x14ac:dyDescent="0.25">
      <c r="A33" s="18" t="s">
        <v>128</v>
      </c>
      <c r="B33" s="19"/>
      <c r="C33" s="19"/>
      <c r="D33" s="14">
        <v>0.4</v>
      </c>
      <c r="E33" s="20">
        <f>IFERROR(D33/SUM(D28,D33),0)</f>
        <v>0.4</v>
      </c>
      <c r="F33" s="21">
        <f>E33*$C$27</f>
        <v>0.13600000000000001</v>
      </c>
      <c r="G33" s="26">
        <f>SUM(G34:G36)</f>
        <v>1</v>
      </c>
      <c r="H33" s="26">
        <f>SUM(H34:H36)</f>
        <v>1</v>
      </c>
      <c r="I33" s="2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outlineLevel="2" x14ac:dyDescent="0.25">
      <c r="A34" s="27" t="s">
        <v>129</v>
      </c>
      <c r="B34" s="28"/>
      <c r="C34" s="28"/>
      <c r="D34" s="28"/>
      <c r="E34" s="28"/>
      <c r="F34" s="28"/>
      <c r="G34" s="14">
        <v>0.33</v>
      </c>
      <c r="H34" s="29">
        <f>IFERROR(G34/SUM($G$34:$G$36),0)</f>
        <v>0.33</v>
      </c>
      <c r="I34" s="30">
        <f>H34*$F$33</f>
        <v>4.4880000000000003E-2</v>
      </c>
      <c r="J34" s="5" t="s">
        <v>54</v>
      </c>
      <c r="K34" s="5">
        <v>1</v>
      </c>
      <c r="L34" s="5">
        <v>0</v>
      </c>
      <c r="M34" s="5">
        <v>-0.5</v>
      </c>
      <c r="N34" s="31" t="str">
        <f>IF(J34="Yes","A: ≥ "&amp;K34&amp;"  |  B: "&amp;L34&amp;"-"&amp;K34&amp;"  |  C: "&amp;M34&amp;"-"&amp;L34&amp;"  |  D: &lt; "&amp;M34,"A: ≤ "&amp;K34&amp;"  |  B: "&amp;K34&amp;"-"&amp;L34&amp;"  |  C: "&amp;L34&amp;"-"&amp;M34&amp;"  |  D: &gt; "&amp;M34)</f>
        <v>A: ≥ 1  |  B: 0-1  |  C: -0.5-0  |  D: &lt; -0.5</v>
      </c>
      <c r="O34" s="5">
        <v>0.5</v>
      </c>
      <c r="P34" s="32" t="str">
        <f>IF(ISBLANK(O34),"",IF(J34="Yes",IF(O34&gt;K34,"A",IF(O34&gt;L34,"B",IF(O34&gt;M34,"C","D"))),IF(O34&lt;K34,"A",IF(O34&lt;L34,"B",IF(O34&lt;M34,"C","D")))))</f>
        <v>B</v>
      </c>
      <c r="Q34" s="33">
        <f>IF(P34="A",4,IF(P34="B",3,IF(P34="C",2,IF(P34="D",1,""))))</f>
        <v>3</v>
      </c>
      <c r="R34" s="34" t="s">
        <v>116</v>
      </c>
      <c r="S34" s="34" t="s">
        <v>130</v>
      </c>
      <c r="T34" s="34" t="s">
        <v>131</v>
      </c>
    </row>
    <row r="35" spans="1:20" outlineLevel="2" x14ac:dyDescent="0.25">
      <c r="A35" s="27" t="s">
        <v>132</v>
      </c>
      <c r="B35" s="28"/>
      <c r="C35" s="28"/>
      <c r="D35" s="28"/>
      <c r="E35" s="28"/>
      <c r="F35" s="28"/>
      <c r="G35" s="14">
        <v>0.34</v>
      </c>
      <c r="H35" s="29">
        <f>IFERROR(G35/SUM($G$34:$G$36),0)</f>
        <v>0.34</v>
      </c>
      <c r="I35" s="30">
        <f>H35*$F$33</f>
        <v>4.6240000000000003E-2</v>
      </c>
      <c r="J35" s="5" t="s">
        <v>54</v>
      </c>
      <c r="K35" s="5">
        <v>80</v>
      </c>
      <c r="L35" s="5">
        <v>50</v>
      </c>
      <c r="M35" s="5">
        <v>20</v>
      </c>
      <c r="N35" s="31" t="str">
        <f>IF(J35="Yes","A: ≥ "&amp;K35&amp;"  |  B: "&amp;L35&amp;"-"&amp;K35&amp;"  |  C: "&amp;M35&amp;"-"&amp;L35&amp;"  |  D: &lt; "&amp;M35,"A: ≤ "&amp;K35&amp;"  |  B: "&amp;K35&amp;"-"&amp;L35&amp;"  |  C: "&amp;L35&amp;"-"&amp;M35&amp;"  |  D: &gt; "&amp;M35)</f>
        <v>A: ≥ 80  |  B: 50-80  |  C: 20-50  |  D: &lt; 20</v>
      </c>
      <c r="O35" s="5">
        <v>65</v>
      </c>
      <c r="P35" s="32" t="str">
        <f>IF(ISBLANK(O35),"",IF(J35="Yes",IF(O35&gt;K35,"A",IF(O35&gt;L35,"B",IF(O35&gt;M35,"C","D"))),IF(O35&lt;K35,"A",IF(O35&lt;L35,"B",IF(O35&lt;M35,"C","D")))))</f>
        <v>B</v>
      </c>
      <c r="Q35" s="33">
        <f>IF(P35="A",4,IF(P35="B",3,IF(P35="C",2,IF(P35="D",1,""))))</f>
        <v>3</v>
      </c>
      <c r="R35" s="34" t="s">
        <v>116</v>
      </c>
      <c r="S35" s="34" t="s">
        <v>133</v>
      </c>
      <c r="T35" s="34" t="s">
        <v>134</v>
      </c>
    </row>
    <row r="36" spans="1:20" outlineLevel="2" x14ac:dyDescent="0.25">
      <c r="A36" s="27" t="s">
        <v>135</v>
      </c>
      <c r="B36" s="28"/>
      <c r="C36" s="28"/>
      <c r="D36" s="28"/>
      <c r="E36" s="28"/>
      <c r="F36" s="28"/>
      <c r="G36" s="14">
        <v>0.33</v>
      </c>
      <c r="H36" s="29">
        <f>IFERROR(G36/SUM($G$34:$G$36),0)</f>
        <v>0.33</v>
      </c>
      <c r="I36" s="30">
        <f>H36*$F$33</f>
        <v>4.4880000000000003E-2</v>
      </c>
      <c r="J36" s="5" t="s">
        <v>54</v>
      </c>
      <c r="K36" s="5">
        <v>70</v>
      </c>
      <c r="L36" s="5">
        <v>50</v>
      </c>
      <c r="M36" s="5">
        <v>30</v>
      </c>
      <c r="N36" s="31" t="str">
        <f>IF(J36="Yes","A: ≥ "&amp;K36&amp;"  |  B: "&amp;L36&amp;"-"&amp;K36&amp;"  |  C: "&amp;M36&amp;"-"&amp;L36&amp;"  |  D: &lt; "&amp;M36,"A: ≤ "&amp;K36&amp;"  |  B: "&amp;K36&amp;"-"&amp;L36&amp;"  |  C: "&amp;L36&amp;"-"&amp;M36&amp;"  |  D: &gt; "&amp;M36)</f>
        <v>A: ≥ 70  |  B: 50-70  |  C: 30-50  |  D: &lt; 30</v>
      </c>
      <c r="O36" s="5">
        <v>55</v>
      </c>
      <c r="P36" s="32" t="str">
        <f>IF(ISBLANK(O36),"",IF(J36="Yes",IF(O36&gt;K36,"A",IF(O36&gt;L36,"B",IF(O36&gt;M36,"C","D"))),IF(O36&lt;K36,"A",IF(O36&lt;L36,"B",IF(O36&lt;M36,"C","D")))))</f>
        <v>B</v>
      </c>
      <c r="Q36" s="33">
        <f>IF(P36="A",4,IF(P36="B",3,IF(P36="C",2,IF(P36="D",1,""))))</f>
        <v>3</v>
      </c>
      <c r="R36" s="34" t="s">
        <v>116</v>
      </c>
      <c r="S36" s="34" t="s">
        <v>136</v>
      </c>
      <c r="T36" s="34" t="s">
        <v>137</v>
      </c>
    </row>
    <row r="38" spans="1:20" x14ac:dyDescent="0.25">
      <c r="H38" s="38" t="s">
        <v>147</v>
      </c>
      <c r="I38" s="37">
        <f>SUM(I6:I37)</f>
        <v>1</v>
      </c>
    </row>
  </sheetData>
  <mergeCells count="2">
    <mergeCell ref="A1:T1"/>
    <mergeCell ref="A2:T2"/>
  </mergeCells>
  <conditionalFormatting sqref="P6:P7">
    <cfRule type="expression" dxfId="71" priority="2">
      <formula>P6="A"</formula>
    </cfRule>
    <cfRule type="expression" dxfId="70" priority="3">
      <formula>P6="B"</formula>
    </cfRule>
    <cfRule type="expression" dxfId="69" priority="4">
      <formula>P6="C"</formula>
    </cfRule>
    <cfRule type="expression" dxfId="68" priority="5">
      <formula>P6="D"</formula>
    </cfRule>
  </conditionalFormatting>
  <conditionalFormatting sqref="P10:P12">
    <cfRule type="expression" dxfId="67" priority="10">
      <formula>P10="A"</formula>
    </cfRule>
    <cfRule type="expression" dxfId="66" priority="11">
      <formula>P10="B"</formula>
    </cfRule>
    <cfRule type="expression" dxfId="65" priority="12">
      <formula>P10="C"</formula>
    </cfRule>
    <cfRule type="expression" dxfId="64" priority="13">
      <formula>P10="D"</formula>
    </cfRule>
  </conditionalFormatting>
  <conditionalFormatting sqref="P14:P17">
    <cfRule type="expression" dxfId="63" priority="22">
      <formula>P14="A"</formula>
    </cfRule>
    <cfRule type="expression" dxfId="62" priority="23">
      <formula>P14="B"</formula>
    </cfRule>
    <cfRule type="expression" dxfId="61" priority="24">
      <formula>P14="C"</formula>
    </cfRule>
    <cfRule type="expression" dxfId="60" priority="25">
      <formula>P14="D"</formula>
    </cfRule>
  </conditionalFormatting>
  <conditionalFormatting sqref="P19:P26">
    <cfRule type="expression" dxfId="59" priority="38">
      <formula>P19="A"</formula>
    </cfRule>
    <cfRule type="expression" dxfId="58" priority="39">
      <formula>P19="B"</formula>
    </cfRule>
    <cfRule type="expression" dxfId="57" priority="40">
      <formula>P19="C"</formula>
    </cfRule>
    <cfRule type="expression" dxfId="56" priority="41">
      <formula>P19="D"</formula>
    </cfRule>
  </conditionalFormatting>
  <conditionalFormatting sqref="P29:P32">
    <cfRule type="expression" dxfId="55" priority="70">
      <formula>P29="A"</formula>
    </cfRule>
    <cfRule type="expression" dxfId="54" priority="71">
      <formula>P29="B"</formula>
    </cfRule>
    <cfRule type="expression" dxfId="53" priority="72">
      <formula>P29="C"</formula>
    </cfRule>
    <cfRule type="expression" dxfId="52" priority="73">
      <formula>P29="D"</formula>
    </cfRule>
  </conditionalFormatting>
  <conditionalFormatting sqref="P34:P36">
    <cfRule type="expression" dxfId="51" priority="86">
      <formula>P34="A"</formula>
    </cfRule>
    <cfRule type="expression" dxfId="50" priority="87">
      <formula>P34="B"</formula>
    </cfRule>
    <cfRule type="expression" dxfId="49" priority="88">
      <formula>P34="C"</formula>
    </cfRule>
    <cfRule type="expression" dxfId="48" priority="89">
      <formula>P34="D"</formula>
    </cfRule>
  </conditionalFormatting>
  <dataValidations count="1">
    <dataValidation type="list" sqref="J6:J7 J10:J12 J14:J17 J19:J26 J29:J32 J34:J36" xr:uid="{00000000-0002-0000-02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67AB-FDEE-4AEA-B562-CDA3E825DB68}">
  <dimension ref="A1:U38"/>
  <sheetViews>
    <sheetView tabSelected="1" topLeftCell="A6" workbookViewId="0">
      <selection activeCell="D27" sqref="D27"/>
    </sheetView>
  </sheetViews>
  <sheetFormatPr defaultColWidth="8.7109375" defaultRowHeight="15" outlineLevelRow="2" outlineLevelCol="1" x14ac:dyDescent="0.25"/>
  <cols>
    <col min="1" max="1" width="34" customWidth="1"/>
    <col min="2" max="2" width="11" customWidth="1"/>
    <col min="3" max="3" width="11.42578125" customWidth="1"/>
    <col min="4" max="4" width="12.5703125" customWidth="1"/>
    <col min="5" max="5" width="12.42578125" customWidth="1"/>
    <col min="6" max="6" width="13" customWidth="1"/>
    <col min="7" max="7" width="11.7109375" customWidth="1"/>
    <col min="8" max="9" width="12" customWidth="1"/>
    <col min="10" max="10" width="8.5703125" customWidth="1"/>
    <col min="11" max="13" width="9.5703125" customWidth="1"/>
    <col min="14" max="14" width="38.28515625" customWidth="1"/>
    <col min="15" max="15" width="10" customWidth="1"/>
    <col min="16" max="17" width="8" customWidth="1"/>
    <col min="18" max="18" width="14" hidden="1" customWidth="1" outlineLevel="1"/>
    <col min="19" max="19" width="22" hidden="1" customWidth="1" outlineLevel="1"/>
    <col min="20" max="20" width="42" hidden="1" customWidth="1" outlineLevel="1"/>
    <col min="21" max="21" width="8.7109375" collapsed="1"/>
  </cols>
  <sheetData>
    <row r="1" spans="1:20" ht="25.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4" customHeight="1" x14ac:dyDescent="0.25">
      <c r="A2" s="40" t="s">
        <v>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31.5" customHeight="1" x14ac:dyDescent="0.25">
      <c r="A3" s="4" t="s">
        <v>40</v>
      </c>
      <c r="B3" s="8" t="s">
        <v>138</v>
      </c>
      <c r="C3" s="4" t="s">
        <v>139</v>
      </c>
      <c r="D3" s="8" t="s">
        <v>140</v>
      </c>
      <c r="E3" s="4" t="s">
        <v>141</v>
      </c>
      <c r="F3" s="4" t="s">
        <v>146</v>
      </c>
      <c r="G3" s="8" t="s">
        <v>142</v>
      </c>
      <c r="H3" s="4" t="s">
        <v>143</v>
      </c>
      <c r="I3" s="4" t="s">
        <v>144</v>
      </c>
      <c r="J3" s="8" t="s">
        <v>41</v>
      </c>
      <c r="K3" s="8" t="s">
        <v>42</v>
      </c>
      <c r="L3" s="8" t="s">
        <v>43</v>
      </c>
      <c r="M3" s="8" t="s">
        <v>44</v>
      </c>
      <c r="N3" s="4" t="s">
        <v>45</v>
      </c>
      <c r="O3" s="8" t="s">
        <v>145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</row>
    <row r="4" spans="1:20" ht="21.75" customHeight="1" x14ac:dyDescent="0.25">
      <c r="A4" s="9" t="s">
        <v>51</v>
      </c>
      <c r="B4" s="10">
        <f>B5+B8+B27</f>
        <v>1.07</v>
      </c>
      <c r="C4" s="11">
        <f>C5+C8+C27</f>
        <v>1</v>
      </c>
      <c r="D4" s="12"/>
      <c r="E4" s="12"/>
      <c r="F4" s="11">
        <f>F6+F7+F9+F13+F18+F26+F28+F33</f>
        <v>0.99999999999999989</v>
      </c>
      <c r="G4" s="12"/>
      <c r="H4" s="12"/>
      <c r="I4" s="11">
        <f>I6+I7+I10+I11+I12+I14+I15+I16+I17+I19+I20+I21+I22+I23+I24+I25+I26+I29+I30+I31+I32+I34+I35+I36</f>
        <v>0.99999999999999989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24" customHeight="1" x14ac:dyDescent="0.25">
      <c r="A5" s="13" t="s">
        <v>52</v>
      </c>
      <c r="B5" s="14">
        <v>0.4</v>
      </c>
      <c r="C5" s="15">
        <f>IFERROR(B5/SUM(B5,B8,B27),0)</f>
        <v>0.37383177570093457</v>
      </c>
      <c r="D5" s="16">
        <f>D6+D7</f>
        <v>0.85</v>
      </c>
      <c r="E5" s="16">
        <f>E6+E7</f>
        <v>1</v>
      </c>
      <c r="F5" s="16">
        <f>F6+F7</f>
        <v>0.37383177570093457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outlineLevel="1" x14ac:dyDescent="0.25">
      <c r="A6" s="18" t="s">
        <v>53</v>
      </c>
      <c r="B6" s="19"/>
      <c r="C6" s="19"/>
      <c r="D6" s="14">
        <v>0.35</v>
      </c>
      <c r="E6" s="20">
        <f>IFERROR(D6/SUM(D6,D7),0)</f>
        <v>0.41176470588235292</v>
      </c>
      <c r="F6" s="21">
        <f>E6*$C$5</f>
        <v>0.15393073117097306</v>
      </c>
      <c r="G6" s="19"/>
      <c r="H6" s="19"/>
      <c r="I6" s="21">
        <f>F6</f>
        <v>0.15393073117097306</v>
      </c>
      <c r="J6" s="5" t="s">
        <v>54</v>
      </c>
      <c r="K6" s="5">
        <v>0.35</v>
      </c>
      <c r="L6" s="5">
        <v>0.15</v>
      </c>
      <c r="M6" s="5">
        <v>0</v>
      </c>
      <c r="N6" s="22" t="str">
        <f>IF(J6="Yes","A: ≥ "&amp;K6&amp;"  |  B: "&amp;L6&amp;"-"&amp;K6&amp;"  |  C: "&amp;M6&amp;"-"&amp;L6&amp;"  |  D: &lt; "&amp;M6,"A: ≤ "&amp;K6&amp;"  |  B: "&amp;K6&amp;"-"&amp;L6&amp;"  |  C: "&amp;L6&amp;"-"&amp;M6&amp;"  |  D: &gt; "&amp;M6)</f>
        <v>A: ≥ 0.35  |  B: 0.15-0.35  |  C: 0-0.15  |  D: &lt; 0</v>
      </c>
      <c r="O6" s="5">
        <v>0.2</v>
      </c>
      <c r="P6" s="23" t="str">
        <f>IF(ISBLANK(O6),"",IF(J6="Yes",IF(O6&gt;K6,"A",IF(O6&gt;L6,"B",IF(O6&gt;M6,"C","D"))),IF(O6&lt;K6,"A",IF(O6&lt;L6,"B",IF(O6&lt;M6,"C","D")))))</f>
        <v>B</v>
      </c>
      <c r="Q6" s="24">
        <f>IF(P6="A",4,IF(P6="B",3,IF(P6="C",2,IF(P6="D",1,""))))</f>
        <v>3</v>
      </c>
      <c r="R6" s="25" t="s">
        <v>55</v>
      </c>
      <c r="S6" s="25" t="s">
        <v>56</v>
      </c>
      <c r="T6" s="25" t="s">
        <v>57</v>
      </c>
    </row>
    <row r="7" spans="1:20" outlineLevel="1" x14ac:dyDescent="0.25">
      <c r="A7" s="18" t="s">
        <v>58</v>
      </c>
      <c r="B7" s="19"/>
      <c r="C7" s="19"/>
      <c r="D7" s="14">
        <v>0.5</v>
      </c>
      <c r="E7" s="20">
        <f>IFERROR(D7/SUM(D6,D7),0)</f>
        <v>0.58823529411764708</v>
      </c>
      <c r="F7" s="21">
        <f>E7*$C$5</f>
        <v>0.21990104452996151</v>
      </c>
      <c r="G7" s="19"/>
      <c r="H7" s="19"/>
      <c r="I7" s="21">
        <f>F7</f>
        <v>0.21990104452996151</v>
      </c>
      <c r="J7" s="5" t="s">
        <v>54</v>
      </c>
      <c r="K7" s="5">
        <v>0.5</v>
      </c>
      <c r="L7" s="5">
        <v>0.2</v>
      </c>
      <c r="M7" s="5">
        <v>0</v>
      </c>
      <c r="N7" s="22" t="str">
        <f>IF(J7="Yes","A: ≥ "&amp;K7&amp;"  |  B: "&amp;L7&amp;"-"&amp;K7&amp;"  |  C: "&amp;M7&amp;"-"&amp;L7&amp;"  |  D: &lt; "&amp;M7,"A: ≤ "&amp;K7&amp;"  |  B: "&amp;K7&amp;"-"&amp;L7&amp;"  |  C: "&amp;L7&amp;"-"&amp;M7&amp;"  |  D: &gt; "&amp;M7)</f>
        <v>A: ≥ 0.5  |  B: 0.2-0.5  |  C: 0-0.2  |  D: &lt; 0</v>
      </c>
      <c r="O7" s="5">
        <v>0.25</v>
      </c>
      <c r="P7" s="23" t="str">
        <f>IF(ISBLANK(O7),"",IF(J7="Yes",IF(O7&gt;K7,"A",IF(O7&gt;L7,"B",IF(O7&gt;M7,"C","D"))),IF(O7&lt;K7,"A",IF(O7&lt;L7,"B",IF(O7&lt;M7,"C","D")))))</f>
        <v>B</v>
      </c>
      <c r="Q7" s="24">
        <f>IF(P7="A",4,IF(P7="B",3,IF(P7="C",2,IF(P7="D",1,""))))</f>
        <v>3</v>
      </c>
      <c r="R7" s="25" t="s">
        <v>59</v>
      </c>
      <c r="S7" s="25" t="s">
        <v>60</v>
      </c>
      <c r="T7" s="25" t="s">
        <v>61</v>
      </c>
    </row>
    <row r="8" spans="1:20" ht="24" customHeight="1" x14ac:dyDescent="0.25">
      <c r="A8" s="13" t="s">
        <v>62</v>
      </c>
      <c r="B8" s="14">
        <v>0.33</v>
      </c>
      <c r="C8" s="15">
        <f>IFERROR(B8/SUM(B5,B8,B27),0)</f>
        <v>0.30841121495327101</v>
      </c>
      <c r="D8" s="16">
        <f>D9+D13+D18+D26</f>
        <v>1.2</v>
      </c>
      <c r="E8" s="16">
        <f>E9+E13+E18+E26</f>
        <v>1</v>
      </c>
      <c r="F8" s="16">
        <f>F9+F13+F18+F26</f>
        <v>0.30841121495327101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outlineLevel="1" x14ac:dyDescent="0.25">
      <c r="A9" s="18" t="s">
        <v>63</v>
      </c>
      <c r="B9" s="19"/>
      <c r="C9" s="19"/>
      <c r="D9" s="14">
        <v>0.2</v>
      </c>
      <c r="E9" s="20">
        <f>IFERROR(D9/SUM(D9,D13,D18,D26),0)</f>
        <v>0.16666666666666669</v>
      </c>
      <c r="F9" s="21">
        <f>E9*$C$8</f>
        <v>5.1401869158878503E-2</v>
      </c>
      <c r="G9" s="26">
        <f>SUM(G10:G12)</f>
        <v>0.73</v>
      </c>
      <c r="H9" s="26">
        <f>SUM(H10:H12)</f>
        <v>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outlineLevel="2" x14ac:dyDescent="0.25">
      <c r="A10" s="27" t="s">
        <v>64</v>
      </c>
      <c r="B10" s="28"/>
      <c r="C10" s="28"/>
      <c r="D10" s="28"/>
      <c r="E10" s="28"/>
      <c r="F10" s="28"/>
      <c r="G10" s="14">
        <v>0.4</v>
      </c>
      <c r="H10" s="29">
        <f>IFERROR(G10/SUM($G$10:$G$12),0)</f>
        <v>0.54794520547945214</v>
      </c>
      <c r="I10" s="30">
        <f>H10*$F$9</f>
        <v>2.8165407758289594E-2</v>
      </c>
      <c r="J10" s="5" t="s">
        <v>65</v>
      </c>
      <c r="K10" s="5">
        <v>10</v>
      </c>
      <c r="L10" s="5">
        <v>20</v>
      </c>
      <c r="M10" s="5">
        <v>30</v>
      </c>
      <c r="N10" s="31" t="str">
        <f>IF(J10="Yes","A: ≥ "&amp;K10&amp;"  |  B: "&amp;L10&amp;"-"&amp;K10&amp;"  |  C: "&amp;M10&amp;"-"&amp;L10&amp;"  |  D: &lt; "&amp;M10,"A: ≤ "&amp;K10&amp;"  |  B: "&amp;K10&amp;"-"&amp;L10&amp;"  |  C: "&amp;L10&amp;"-"&amp;M10&amp;"  |  D: &gt; "&amp;M10)</f>
        <v>A: ≤ 10  |  B: 10-20  |  C: 20-30  |  D: &gt; 30</v>
      </c>
      <c r="O10" s="5">
        <v>15</v>
      </c>
      <c r="P10" s="32" t="str">
        <f>IF(ISBLANK(O10),"",IF(J10="Yes",IF(O10&gt;K10,"A",IF(O10&gt;L10,"B",IF(O10&gt;M10,"C","D"))),IF(O10&lt;K10,"A",IF(O10&lt;L10,"B",IF(O10&lt;M10,"C","D")))))</f>
        <v>B</v>
      </c>
      <c r="Q10" s="33">
        <f>IF(P10="A",4,IF(P10="B",3,IF(P10="C",2,IF(P10="D",1,""))))</f>
        <v>3</v>
      </c>
      <c r="R10" s="34" t="s">
        <v>66</v>
      </c>
      <c r="S10" s="34" t="s">
        <v>67</v>
      </c>
      <c r="T10" s="34" t="s">
        <v>68</v>
      </c>
    </row>
    <row r="11" spans="1:20" outlineLevel="2" x14ac:dyDescent="0.25">
      <c r="A11" s="27" t="s">
        <v>69</v>
      </c>
      <c r="B11" s="28"/>
      <c r="C11" s="28"/>
      <c r="D11" s="28"/>
      <c r="E11" s="28"/>
      <c r="F11" s="28"/>
      <c r="G11" s="14">
        <v>0.33</v>
      </c>
      <c r="H11" s="29">
        <f>IFERROR(G11/SUM($G$10:$G$12),0)</f>
        <v>0.45205479452054798</v>
      </c>
      <c r="I11" s="30">
        <f>H11*$F$9</f>
        <v>2.3236461400588913E-2</v>
      </c>
      <c r="J11" s="5" t="s">
        <v>65</v>
      </c>
      <c r="K11" s="5">
        <v>1</v>
      </c>
      <c r="L11" s="5">
        <v>1.5</v>
      </c>
      <c r="M11" s="5">
        <v>2</v>
      </c>
      <c r="N11" s="31" t="str">
        <f>IF(J11="Yes","A: ≥ "&amp;K11&amp;"  |  B: "&amp;L11&amp;"-"&amp;K11&amp;"  |  C: "&amp;M11&amp;"-"&amp;L11&amp;"  |  D: &lt; "&amp;M11,"A: ≤ "&amp;K11&amp;"  |  B: "&amp;K11&amp;"-"&amp;L11&amp;"  |  C: "&amp;L11&amp;"-"&amp;M11&amp;"  |  D: &gt; "&amp;M11)</f>
        <v>A: ≤ 1  |  B: 1-1.5  |  C: 1.5-2  |  D: &gt; 2</v>
      </c>
      <c r="O11" s="5">
        <v>2.5</v>
      </c>
      <c r="P11" s="32" t="str">
        <f>IF(ISBLANK(O11),"",IF(J11="Yes",IF(O11&gt;K11,"A",IF(O11&gt;L11,"B",IF(O11&gt;M11,"C","D"))),IF(O11&lt;K11,"A",IF(O11&lt;L11,"B",IF(O11&lt;M11,"C","D")))))</f>
        <v>D</v>
      </c>
      <c r="Q11" s="33">
        <f>IF(P11="A",4,IF(P11="B",3,IF(P11="C",2,IF(P11="D",1,""))))</f>
        <v>1</v>
      </c>
      <c r="R11" s="34" t="s">
        <v>66</v>
      </c>
      <c r="S11" s="34" t="s">
        <v>70</v>
      </c>
      <c r="T11" s="34" t="s">
        <v>71</v>
      </c>
    </row>
    <row r="12" spans="1:20" outlineLevel="2" x14ac:dyDescent="0.25">
      <c r="A12" s="27" t="s">
        <v>72</v>
      </c>
      <c r="B12" s="28"/>
      <c r="C12" s="28"/>
      <c r="D12" s="28"/>
      <c r="E12" s="28"/>
      <c r="F12" s="28"/>
      <c r="G12" s="14">
        <v>0</v>
      </c>
      <c r="H12" s="29">
        <f>IFERROR(G12/SUM($G$10:$G$12),0)</f>
        <v>0</v>
      </c>
      <c r="I12" s="30">
        <f>H12*$F$9</f>
        <v>0</v>
      </c>
      <c r="J12" s="5" t="s">
        <v>65</v>
      </c>
      <c r="K12" s="5">
        <v>10</v>
      </c>
      <c r="L12" s="5">
        <v>15</v>
      </c>
      <c r="M12" s="5">
        <v>20</v>
      </c>
      <c r="N12" s="31" t="str">
        <f>IF(J12="Yes","A: ≥ "&amp;K12&amp;"  |  B: "&amp;L12&amp;"-"&amp;K12&amp;"  |  C: "&amp;M12&amp;"-"&amp;L12&amp;"  |  D: &lt; "&amp;M12,"A: ≤ "&amp;K12&amp;"  |  B: "&amp;K12&amp;"-"&amp;L12&amp;"  |  C: "&amp;L12&amp;"-"&amp;M12&amp;"  |  D: &gt; "&amp;M12)</f>
        <v>A: ≤ 10  |  B: 10-15  |  C: 15-20  |  D: &gt; 20</v>
      </c>
      <c r="O12" s="5">
        <v>12</v>
      </c>
      <c r="P12" s="32" t="str">
        <f>IF(ISBLANK(O12),"",IF(J12="Yes",IF(O12&gt;K12,"A",IF(O12&gt;L12,"B",IF(O12&gt;M12,"C","D"))),IF(O12&lt;K12,"A",IF(O12&lt;L12,"B",IF(O12&lt;M12,"C","D")))))</f>
        <v>B</v>
      </c>
      <c r="Q12" s="33">
        <f>IF(P12="A",4,IF(P12="B",3,IF(P12="C",2,IF(P12="D",1,""))))</f>
        <v>3</v>
      </c>
      <c r="R12" s="34" t="s">
        <v>66</v>
      </c>
      <c r="S12" s="34" t="s">
        <v>73</v>
      </c>
      <c r="T12" s="34" t="s">
        <v>74</v>
      </c>
    </row>
    <row r="13" spans="1:20" outlineLevel="1" x14ac:dyDescent="0.25">
      <c r="A13" s="18" t="s">
        <v>75</v>
      </c>
      <c r="B13" s="19"/>
      <c r="C13" s="19"/>
      <c r="D13" s="14">
        <v>0.25</v>
      </c>
      <c r="E13" s="20">
        <f>IFERROR(D13/SUM(D9,D13,D18,D26),0)</f>
        <v>0.20833333333333334</v>
      </c>
      <c r="F13" s="21">
        <f>E13*$C$8</f>
        <v>6.4252336448598124E-2</v>
      </c>
      <c r="G13" s="26">
        <f>SUM(G14:G17)</f>
        <v>1</v>
      </c>
      <c r="H13" s="26">
        <f>SUM(H14:H17)</f>
        <v>1</v>
      </c>
      <c r="I13" s="2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outlineLevel="2" x14ac:dyDescent="0.25">
      <c r="A14" s="27" t="s">
        <v>76</v>
      </c>
      <c r="B14" s="28"/>
      <c r="C14" s="28"/>
      <c r="D14" s="28"/>
      <c r="E14" s="28"/>
      <c r="F14" s="28"/>
      <c r="G14" s="14">
        <v>0.25</v>
      </c>
      <c r="H14" s="29">
        <f>IFERROR(G14/SUM($G$14:$G$17),0)</f>
        <v>0.25</v>
      </c>
      <c r="I14" s="30">
        <f>H14*$F$13</f>
        <v>1.6063084112149531E-2</v>
      </c>
      <c r="J14" s="5" t="s">
        <v>54</v>
      </c>
      <c r="K14" s="5">
        <v>25</v>
      </c>
      <c r="L14" s="5">
        <v>15</v>
      </c>
      <c r="M14" s="5">
        <v>5</v>
      </c>
      <c r="N14" s="31" t="str">
        <f>IF(J14="Yes","A: ≥ "&amp;K14&amp;"  |  B: "&amp;L14&amp;"-"&amp;K14&amp;"  |  C: "&amp;M14&amp;"-"&amp;L14&amp;"  |  D: &lt; "&amp;M14,"A: ≤ "&amp;K14&amp;"  |  B: "&amp;K14&amp;"-"&amp;L14&amp;"  |  C: "&amp;L14&amp;"-"&amp;M14&amp;"  |  D: &gt; "&amp;M14)</f>
        <v>A: ≥ 25  |  B: 15-25  |  C: 5-15  |  D: &lt; 5</v>
      </c>
      <c r="O14" s="5">
        <v>18</v>
      </c>
      <c r="P14" s="32" t="str">
        <f>IF(ISBLANK(O14),"",IF(J14="Yes",IF(O14&gt;K14,"A",IF(O14&gt;L14,"B",IF(O14&gt;M14,"C","D"))),IF(O14&lt;K14,"A",IF(O14&lt;L14,"B",IF(O14&lt;M14,"C","D")))))</f>
        <v>B</v>
      </c>
      <c r="Q14" s="33">
        <f>IF(P14="A",4,IF(P14="B",3,IF(P14="C",2,IF(P14="D",1,""))))</f>
        <v>3</v>
      </c>
      <c r="R14" s="34" t="s">
        <v>66</v>
      </c>
      <c r="S14" s="34" t="s">
        <v>77</v>
      </c>
      <c r="T14" s="34" t="s">
        <v>78</v>
      </c>
    </row>
    <row r="15" spans="1:20" outlineLevel="2" x14ac:dyDescent="0.25">
      <c r="A15" s="27" t="s">
        <v>79</v>
      </c>
      <c r="B15" s="28"/>
      <c r="C15" s="28"/>
      <c r="D15" s="28"/>
      <c r="E15" s="28"/>
      <c r="F15" s="28"/>
      <c r="G15" s="14">
        <v>0.25</v>
      </c>
      <c r="H15" s="29">
        <f>IFERROR(G15/SUM($G$14:$G$17),0)</f>
        <v>0.25</v>
      </c>
      <c r="I15" s="30">
        <f>H15*$F$13</f>
        <v>1.6063084112149531E-2</v>
      </c>
      <c r="J15" s="5" t="s">
        <v>54</v>
      </c>
      <c r="K15" s="5">
        <v>25</v>
      </c>
      <c r="L15" s="5">
        <v>15</v>
      </c>
      <c r="M15" s="5">
        <v>5</v>
      </c>
      <c r="N15" s="31" t="str">
        <f>IF(J15="Yes","A: ≥ "&amp;K15&amp;"  |  B: "&amp;L15&amp;"-"&amp;K15&amp;"  |  C: "&amp;M15&amp;"-"&amp;L15&amp;"  |  D: &lt; "&amp;M15,"A: ≤ "&amp;K15&amp;"  |  B: "&amp;K15&amp;"-"&amp;L15&amp;"  |  C: "&amp;L15&amp;"-"&amp;M15&amp;"  |  D: &gt; "&amp;M15)</f>
        <v>A: ≥ 25  |  B: 15-25  |  C: 5-15  |  D: &lt; 5</v>
      </c>
      <c r="O15" s="5">
        <v>12</v>
      </c>
      <c r="P15" s="32" t="str">
        <f>IF(ISBLANK(O15),"",IF(J15="Yes",IF(O15&gt;K15,"A",IF(O15&gt;L15,"B",IF(O15&gt;M15,"C","D"))),IF(O15&lt;K15,"A",IF(O15&lt;L15,"B",IF(O15&lt;M15,"C","D")))))</f>
        <v>C</v>
      </c>
      <c r="Q15" s="33">
        <f>IF(P15="A",4,IF(P15="B",3,IF(P15="C",2,IF(P15="D",1,""))))</f>
        <v>2</v>
      </c>
      <c r="R15" s="34" t="s">
        <v>66</v>
      </c>
      <c r="S15" s="34" t="s">
        <v>80</v>
      </c>
      <c r="T15" s="34" t="s">
        <v>81</v>
      </c>
    </row>
    <row r="16" spans="1:20" outlineLevel="2" x14ac:dyDescent="0.25">
      <c r="A16" s="27" t="s">
        <v>82</v>
      </c>
      <c r="B16" s="28"/>
      <c r="C16" s="28"/>
      <c r="D16" s="28"/>
      <c r="E16" s="28"/>
      <c r="F16" s="28"/>
      <c r="G16" s="14">
        <v>0.25</v>
      </c>
      <c r="H16" s="29">
        <f>IFERROR(G16/SUM($G$14:$G$17),0)</f>
        <v>0.25</v>
      </c>
      <c r="I16" s="30">
        <f>H16*$F$13</f>
        <v>1.6063084112149531E-2</v>
      </c>
      <c r="J16" s="5" t="s">
        <v>65</v>
      </c>
      <c r="K16" s="5">
        <v>0</v>
      </c>
      <c r="L16" s="5">
        <v>0.5</v>
      </c>
      <c r="M16" s="5">
        <v>1</v>
      </c>
      <c r="N16" s="31" t="str">
        <f>IF(J16="Yes","A: ≥ "&amp;K16&amp;"  |  B: "&amp;L16&amp;"-"&amp;K16&amp;"  |  C: "&amp;M16&amp;"-"&amp;L16&amp;"  |  D: &lt; "&amp;M16,"A: ≤ "&amp;K16&amp;"  |  B: "&amp;K16&amp;"-"&amp;L16&amp;"  |  C: "&amp;L16&amp;"-"&amp;M16&amp;"  |  D: &gt; "&amp;M16)</f>
        <v>A: ≤ 0  |  B: 0-0.5  |  C: 0.5-1  |  D: &gt; 1</v>
      </c>
      <c r="O16" s="5">
        <v>0.4</v>
      </c>
      <c r="P16" s="32" t="str">
        <f>IF(ISBLANK(O16),"",IF(J16="Yes",IF(O16&gt;K16,"A",IF(O16&gt;L16,"B",IF(O16&gt;M16,"C","D"))),IF(O16&lt;K16,"A",IF(O16&lt;L16,"B",IF(O16&lt;M16,"C","D")))))</f>
        <v>B</v>
      </c>
      <c r="Q16" s="33">
        <f>IF(P16="A",4,IF(P16="B",3,IF(P16="C",2,IF(P16="D",1,""))))</f>
        <v>3</v>
      </c>
      <c r="R16" s="34" t="s">
        <v>66</v>
      </c>
      <c r="S16" s="34" t="s">
        <v>83</v>
      </c>
      <c r="T16" s="34" t="s">
        <v>84</v>
      </c>
    </row>
    <row r="17" spans="1:20" outlineLevel="2" x14ac:dyDescent="0.25">
      <c r="A17" s="27" t="s">
        <v>85</v>
      </c>
      <c r="B17" s="28"/>
      <c r="C17" s="28"/>
      <c r="D17" s="28"/>
      <c r="E17" s="28"/>
      <c r="F17" s="28"/>
      <c r="G17" s="14">
        <v>0.25</v>
      </c>
      <c r="H17" s="29">
        <f>IFERROR(G17/SUM($G$14:$G$17),0)</f>
        <v>0.25</v>
      </c>
      <c r="I17" s="30">
        <f>H17*$F$13</f>
        <v>1.6063084112149531E-2</v>
      </c>
      <c r="J17" s="5" t="s">
        <v>54</v>
      </c>
      <c r="K17" s="5">
        <v>4</v>
      </c>
      <c r="L17" s="5">
        <v>2</v>
      </c>
      <c r="M17" s="5">
        <v>0.01</v>
      </c>
      <c r="N17" s="31" t="str">
        <f>IF(J17="Yes","A: ≥ "&amp;K17&amp;"  |  B: "&amp;L17&amp;"-"&amp;K17&amp;"  |  C: "&amp;M17&amp;"-"&amp;L17&amp;"  |  D: &lt; "&amp;M17,"A: ≤ "&amp;K17&amp;"  |  B: "&amp;K17&amp;"-"&amp;L17&amp;"  |  C: "&amp;L17&amp;"-"&amp;M17&amp;"  |  D: &gt; "&amp;M17)</f>
        <v>A: ≥ 4  |  B: 2-4  |  C: 0.01-2  |  D: &lt; 0.01</v>
      </c>
      <c r="O17" s="5">
        <v>2.5</v>
      </c>
      <c r="P17" s="32" t="str">
        <f>IF(ISBLANK(O17),"",IF(J17="Yes",IF(O17&gt;K17,"A",IF(O17&gt;L17,"B",IF(O17&gt;M17,"C","D"))),IF(O17&lt;K17,"A",IF(O17&lt;L17,"B",IF(O17&lt;M17,"C","D")))))</f>
        <v>B</v>
      </c>
      <c r="Q17" s="33">
        <f>IF(P17="A",4,IF(P17="B",3,IF(P17="C",2,IF(P17="D",1,""))))</f>
        <v>3</v>
      </c>
      <c r="R17" s="34" t="s">
        <v>66</v>
      </c>
      <c r="S17" s="34" t="s">
        <v>86</v>
      </c>
      <c r="T17" s="34" t="s">
        <v>87</v>
      </c>
    </row>
    <row r="18" spans="1:20" outlineLevel="1" x14ac:dyDescent="0.25">
      <c r="A18" s="18" t="s">
        <v>88</v>
      </c>
      <c r="B18" s="19"/>
      <c r="C18" s="19"/>
      <c r="D18" s="14">
        <v>0.25</v>
      </c>
      <c r="E18" s="20">
        <f>IFERROR(D18/SUM(D9,D13,D18,D26),0)</f>
        <v>0.20833333333333334</v>
      </c>
      <c r="F18" s="21">
        <f>E18*$C$8</f>
        <v>6.4252336448598124E-2</v>
      </c>
      <c r="G18" s="26">
        <f>SUM(G19:G25)</f>
        <v>1</v>
      </c>
      <c r="H18" s="26">
        <f>SUM(H19:H25)</f>
        <v>1</v>
      </c>
      <c r="I18" s="2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outlineLevel="2" x14ac:dyDescent="0.25">
      <c r="A19" s="27" t="s">
        <v>89</v>
      </c>
      <c r="B19" s="28"/>
      <c r="C19" s="28"/>
      <c r="D19" s="28"/>
      <c r="E19" s="28"/>
      <c r="F19" s="28"/>
      <c r="G19" s="14">
        <v>0.15</v>
      </c>
      <c r="H19" s="29">
        <f t="shared" ref="H19:H25" si="0">IFERROR(G19/SUM($G$19:$G$25),0)</f>
        <v>0.15</v>
      </c>
      <c r="I19" s="30">
        <f t="shared" ref="I19:I25" si="1">H19*$F$18</f>
        <v>9.637850467289719E-3</v>
      </c>
      <c r="J19" s="5" t="s">
        <v>54</v>
      </c>
      <c r="K19" s="5">
        <v>75</v>
      </c>
      <c r="L19" s="5">
        <v>50</v>
      </c>
      <c r="M19" s="5">
        <v>25</v>
      </c>
      <c r="N19" s="31" t="str">
        <f t="shared" ref="N19:N26" si="2">IF(J19="Yes","A: ≥ "&amp;K19&amp;"  |  B: "&amp;L19&amp;"-"&amp;K19&amp;"  |  C: "&amp;M19&amp;"-"&amp;L19&amp;"  |  D: &lt; "&amp;M19,"A: ≤ "&amp;K19&amp;"  |  B: "&amp;K19&amp;"-"&amp;L19&amp;"  |  C: "&amp;L19&amp;"-"&amp;M19&amp;"  |  D: &gt; "&amp;M19)</f>
        <v>A: ≥ 75  |  B: 50-75  |  C: 25-50  |  D: &lt; 25</v>
      </c>
      <c r="O19" s="5">
        <v>75</v>
      </c>
      <c r="P19" s="32" t="str">
        <f t="shared" ref="P19:P26" si="3">IF(ISBLANK(O19),"",IF(J19="Yes",IF(O19&gt;K19,"A",IF(O19&gt;L19,"B",IF(O19&gt;M19,"C","D"))),IF(O19&lt;K19,"A",IF(O19&lt;L19,"B",IF(O19&lt;M19,"C","D")))))</f>
        <v>B</v>
      </c>
      <c r="Q19" s="33">
        <f t="shared" ref="Q19:Q26" si="4">IF(P19="A",4,IF(P19="B",3,IF(P19="C",2,IF(P19="D",1,""))))</f>
        <v>3</v>
      </c>
      <c r="R19" s="34" t="s">
        <v>66</v>
      </c>
      <c r="S19" s="34" t="s">
        <v>90</v>
      </c>
      <c r="T19" s="34" t="s">
        <v>91</v>
      </c>
    </row>
    <row r="20" spans="1:20" outlineLevel="2" x14ac:dyDescent="0.25">
      <c r="A20" s="27" t="s">
        <v>92</v>
      </c>
      <c r="B20" s="28"/>
      <c r="C20" s="28"/>
      <c r="D20" s="28"/>
      <c r="E20" s="28"/>
      <c r="F20" s="28"/>
      <c r="G20" s="14">
        <v>0.15</v>
      </c>
      <c r="H20" s="29">
        <f t="shared" si="0"/>
        <v>0.15</v>
      </c>
      <c r="I20" s="30">
        <f t="shared" si="1"/>
        <v>9.637850467289719E-3</v>
      </c>
      <c r="J20" s="5" t="s">
        <v>54</v>
      </c>
      <c r="K20" s="5">
        <v>75</v>
      </c>
      <c r="L20" s="5">
        <v>50</v>
      </c>
      <c r="M20" s="5">
        <v>25</v>
      </c>
      <c r="N20" s="31" t="str">
        <f t="shared" si="2"/>
        <v>A: ≥ 75  |  B: 50-75  |  C: 25-50  |  D: &lt; 25</v>
      </c>
      <c r="O20" s="5">
        <v>55</v>
      </c>
      <c r="P20" s="32" t="str">
        <f t="shared" si="3"/>
        <v>B</v>
      </c>
      <c r="Q20" s="33">
        <f t="shared" si="4"/>
        <v>3</v>
      </c>
      <c r="R20" s="34" t="s">
        <v>66</v>
      </c>
      <c r="S20" s="34" t="s">
        <v>93</v>
      </c>
      <c r="T20" s="34" t="s">
        <v>94</v>
      </c>
    </row>
    <row r="21" spans="1:20" outlineLevel="2" x14ac:dyDescent="0.25">
      <c r="A21" s="27" t="s">
        <v>95</v>
      </c>
      <c r="B21" s="28"/>
      <c r="C21" s="28"/>
      <c r="D21" s="28"/>
      <c r="E21" s="28"/>
      <c r="F21" s="28"/>
      <c r="G21" s="14">
        <v>0.14000000000000001</v>
      </c>
      <c r="H21" s="29">
        <f t="shared" si="0"/>
        <v>0.14000000000000001</v>
      </c>
      <c r="I21" s="30">
        <f t="shared" si="1"/>
        <v>8.9953271028037386E-3</v>
      </c>
      <c r="J21" s="5" t="s">
        <v>54</v>
      </c>
      <c r="K21" s="5">
        <v>20</v>
      </c>
      <c r="L21" s="5">
        <v>10</v>
      </c>
      <c r="M21" s="5">
        <v>0</v>
      </c>
      <c r="N21" s="31" t="str">
        <f t="shared" si="2"/>
        <v>A: ≥ 20  |  B: 10-20  |  C: 0-10  |  D: &lt; 0</v>
      </c>
      <c r="O21" s="5">
        <v>12</v>
      </c>
      <c r="P21" s="32" t="str">
        <f t="shared" si="3"/>
        <v>B</v>
      </c>
      <c r="Q21" s="33">
        <f t="shared" si="4"/>
        <v>3</v>
      </c>
      <c r="R21" s="34" t="s">
        <v>66</v>
      </c>
      <c r="S21" s="34" t="s">
        <v>96</v>
      </c>
      <c r="T21" s="34" t="s">
        <v>97</v>
      </c>
    </row>
    <row r="22" spans="1:20" outlineLevel="2" x14ac:dyDescent="0.25">
      <c r="A22" s="27" t="s">
        <v>98</v>
      </c>
      <c r="B22" s="28"/>
      <c r="C22" s="28"/>
      <c r="D22" s="28"/>
      <c r="E22" s="28"/>
      <c r="F22" s="28"/>
      <c r="G22" s="14">
        <v>0.14000000000000001</v>
      </c>
      <c r="H22" s="29">
        <f t="shared" si="0"/>
        <v>0.14000000000000001</v>
      </c>
      <c r="I22" s="30">
        <f t="shared" si="1"/>
        <v>8.9953271028037386E-3</v>
      </c>
      <c r="J22" s="5" t="s">
        <v>54</v>
      </c>
      <c r="K22" s="5">
        <v>20</v>
      </c>
      <c r="L22" s="5">
        <v>10</v>
      </c>
      <c r="M22" s="5">
        <v>0</v>
      </c>
      <c r="N22" s="31" t="str">
        <f t="shared" si="2"/>
        <v>A: ≥ 20  |  B: 10-20  |  C: 0-10  |  D: &lt; 0</v>
      </c>
      <c r="O22" s="5">
        <v>18</v>
      </c>
      <c r="P22" s="32" t="str">
        <f t="shared" si="3"/>
        <v>B</v>
      </c>
      <c r="Q22" s="33">
        <f t="shared" si="4"/>
        <v>3</v>
      </c>
      <c r="R22" s="34" t="s">
        <v>66</v>
      </c>
      <c r="S22" s="34" t="s">
        <v>99</v>
      </c>
      <c r="T22" s="34" t="s">
        <v>100</v>
      </c>
    </row>
    <row r="23" spans="1:20" outlineLevel="2" x14ac:dyDescent="0.25">
      <c r="A23" s="27" t="s">
        <v>101</v>
      </c>
      <c r="B23" s="28"/>
      <c r="C23" s="28"/>
      <c r="D23" s="28"/>
      <c r="E23" s="28"/>
      <c r="F23" s="28"/>
      <c r="G23" s="14">
        <v>0.14000000000000001</v>
      </c>
      <c r="H23" s="29">
        <f t="shared" si="0"/>
        <v>0.14000000000000001</v>
      </c>
      <c r="I23" s="30">
        <f t="shared" si="1"/>
        <v>8.9953271028037386E-3</v>
      </c>
      <c r="J23" s="5" t="s">
        <v>54</v>
      </c>
      <c r="K23" s="5">
        <v>20</v>
      </c>
      <c r="L23" s="5">
        <v>10</v>
      </c>
      <c r="M23" s="5">
        <v>0</v>
      </c>
      <c r="N23" s="31" t="str">
        <f t="shared" si="2"/>
        <v>A: ≥ 20  |  B: 10-20  |  C: 0-10  |  D: &lt; 0</v>
      </c>
      <c r="O23" s="5">
        <v>2</v>
      </c>
      <c r="P23" s="32" t="str">
        <f t="shared" si="3"/>
        <v>C</v>
      </c>
      <c r="Q23" s="33">
        <f t="shared" si="4"/>
        <v>2</v>
      </c>
      <c r="R23" s="34" t="s">
        <v>66</v>
      </c>
      <c r="S23" s="34" t="s">
        <v>102</v>
      </c>
      <c r="T23" s="34" t="s">
        <v>103</v>
      </c>
    </row>
    <row r="24" spans="1:20" outlineLevel="2" x14ac:dyDescent="0.25">
      <c r="A24" s="27" t="s">
        <v>104</v>
      </c>
      <c r="B24" s="28"/>
      <c r="C24" s="28"/>
      <c r="D24" s="28"/>
      <c r="E24" s="28"/>
      <c r="F24" s="28"/>
      <c r="G24" s="14">
        <v>0.14000000000000001</v>
      </c>
      <c r="H24" s="29">
        <f t="shared" si="0"/>
        <v>0.14000000000000001</v>
      </c>
      <c r="I24" s="30">
        <f t="shared" si="1"/>
        <v>8.9953271028037386E-3</v>
      </c>
      <c r="J24" s="5" t="s">
        <v>54</v>
      </c>
      <c r="K24" s="5">
        <v>20</v>
      </c>
      <c r="L24" s="5">
        <v>10</v>
      </c>
      <c r="M24" s="5">
        <v>0</v>
      </c>
      <c r="N24" s="31" t="str">
        <f t="shared" si="2"/>
        <v>A: ≥ 20  |  B: 10-20  |  C: 0-10  |  D: &lt; 0</v>
      </c>
      <c r="O24" s="5">
        <v>22</v>
      </c>
      <c r="P24" s="32" t="str">
        <f t="shared" si="3"/>
        <v>A</v>
      </c>
      <c r="Q24" s="33">
        <f t="shared" si="4"/>
        <v>4</v>
      </c>
      <c r="R24" s="34" t="s">
        <v>66</v>
      </c>
      <c r="S24" s="34" t="s">
        <v>105</v>
      </c>
      <c r="T24" s="34" t="s">
        <v>106</v>
      </c>
    </row>
    <row r="25" spans="1:20" outlineLevel="2" x14ac:dyDescent="0.25">
      <c r="A25" s="27" t="s">
        <v>107</v>
      </c>
      <c r="B25" s="28"/>
      <c r="C25" s="28"/>
      <c r="D25" s="28"/>
      <c r="E25" s="28"/>
      <c r="F25" s="28"/>
      <c r="G25" s="14">
        <v>0.14000000000000001</v>
      </c>
      <c r="H25" s="29">
        <f t="shared" si="0"/>
        <v>0.14000000000000001</v>
      </c>
      <c r="I25" s="30">
        <f t="shared" si="1"/>
        <v>8.9953271028037386E-3</v>
      </c>
      <c r="J25" s="5" t="s">
        <v>54</v>
      </c>
      <c r="K25" s="5">
        <v>20</v>
      </c>
      <c r="L25" s="5">
        <v>10</v>
      </c>
      <c r="M25" s="5">
        <v>0</v>
      </c>
      <c r="N25" s="31" t="str">
        <f t="shared" si="2"/>
        <v>A: ≥ 20  |  B: 10-20  |  C: 0-10  |  D: &lt; 0</v>
      </c>
      <c r="O25" s="5">
        <v>14</v>
      </c>
      <c r="P25" s="32" t="str">
        <f t="shared" si="3"/>
        <v>B</v>
      </c>
      <c r="Q25" s="33">
        <f t="shared" si="4"/>
        <v>3</v>
      </c>
      <c r="R25" s="34" t="s">
        <v>66</v>
      </c>
      <c r="S25" s="34" t="s">
        <v>108</v>
      </c>
      <c r="T25" s="34" t="s">
        <v>109</v>
      </c>
    </row>
    <row r="26" spans="1:20" outlineLevel="1" x14ac:dyDescent="0.25">
      <c r="A26" s="18" t="s">
        <v>110</v>
      </c>
      <c r="B26" s="19"/>
      <c r="C26" s="19"/>
      <c r="D26" s="14">
        <v>0.5</v>
      </c>
      <c r="E26" s="20">
        <f>IFERROR(D26/SUM(D9,D13,D18,D26),0)</f>
        <v>0.41666666666666669</v>
      </c>
      <c r="F26" s="21">
        <f>E26*$C$8</f>
        <v>0.12850467289719625</v>
      </c>
      <c r="G26" s="19"/>
      <c r="H26" s="19"/>
      <c r="I26" s="21">
        <f>F26</f>
        <v>0.12850467289719625</v>
      </c>
      <c r="J26" s="5" t="s">
        <v>65</v>
      </c>
      <c r="K26" s="5">
        <v>1.5</v>
      </c>
      <c r="L26" s="5">
        <v>2</v>
      </c>
      <c r="M26" s="5">
        <v>2.6</v>
      </c>
      <c r="N26" s="22" t="str">
        <f t="shared" si="2"/>
        <v>A: ≤ 1.5  |  B: 1.5-2  |  C: 2-2.6  |  D: &gt; 2.6</v>
      </c>
      <c r="O26" s="5">
        <v>1.8</v>
      </c>
      <c r="P26" s="23" t="str">
        <f t="shared" si="3"/>
        <v>B</v>
      </c>
      <c r="Q26" s="24">
        <f t="shared" si="4"/>
        <v>3</v>
      </c>
      <c r="R26" s="25" t="s">
        <v>66</v>
      </c>
      <c r="S26" s="25" t="s">
        <v>111</v>
      </c>
      <c r="T26" s="25" t="s">
        <v>112</v>
      </c>
    </row>
    <row r="27" spans="1:20" ht="24" customHeight="1" x14ac:dyDescent="0.25">
      <c r="A27" s="13" t="s">
        <v>113</v>
      </c>
      <c r="B27" s="14">
        <v>0.34</v>
      </c>
      <c r="C27" s="15">
        <f>IFERROR(B27/SUM(B5,B8,B27),0)</f>
        <v>0.31775700934579437</v>
      </c>
      <c r="D27" s="16">
        <f>D28+D33</f>
        <v>1</v>
      </c>
      <c r="E27" s="16">
        <f>E28+E33</f>
        <v>1</v>
      </c>
      <c r="F27" s="16">
        <f>F28+F33</f>
        <v>0.31775700934579437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outlineLevel="1" x14ac:dyDescent="0.25">
      <c r="A28" s="18" t="s">
        <v>114</v>
      </c>
      <c r="B28" s="19"/>
      <c r="C28" s="19"/>
      <c r="D28" s="14">
        <v>0.6</v>
      </c>
      <c r="E28" s="20">
        <f>IFERROR(D28/SUM(D28,D33),0)</f>
        <v>0.6</v>
      </c>
      <c r="F28" s="21">
        <f>E28*$C$27</f>
        <v>0.19065420560747662</v>
      </c>
      <c r="G28" s="26">
        <f>SUM(G29:G32)</f>
        <v>1</v>
      </c>
      <c r="H28" s="26">
        <f>SUM(H29:H32)</f>
        <v>1</v>
      </c>
      <c r="I28" s="26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outlineLevel="2" x14ac:dyDescent="0.25">
      <c r="A29" s="27" t="s">
        <v>115</v>
      </c>
      <c r="B29" s="28"/>
      <c r="C29" s="28"/>
      <c r="D29" s="28"/>
      <c r="E29" s="28"/>
      <c r="F29" s="28"/>
      <c r="G29" s="14">
        <v>0.25</v>
      </c>
      <c r="H29" s="29">
        <f>IFERROR(G29/SUM($G$29:$G$32),0)</f>
        <v>0.25</v>
      </c>
      <c r="I29" s="30">
        <f>H29*$F$28</f>
        <v>4.7663551401869154E-2</v>
      </c>
      <c r="J29" s="5" t="s">
        <v>54</v>
      </c>
      <c r="K29" s="5">
        <v>0.2</v>
      </c>
      <c r="L29" s="5">
        <v>0.05</v>
      </c>
      <c r="M29" s="5">
        <v>0</v>
      </c>
      <c r="N29" s="31" t="str">
        <f>IF(J29="Yes","A: ≥ "&amp;K29&amp;"  |  B: "&amp;L29&amp;"-"&amp;K29&amp;"  |  C: "&amp;M29&amp;"-"&amp;L29&amp;"  |  D: &lt; "&amp;M29,"A: ≤ "&amp;K29&amp;"  |  B: "&amp;K29&amp;"-"&amp;L29&amp;"  |  C: "&amp;L29&amp;"-"&amp;M29&amp;"  |  D: &gt; "&amp;M29)</f>
        <v>A: ≥ 0.2  |  B: 0.05-0.2  |  C: 0-0.05  |  D: &lt; 0</v>
      </c>
      <c r="O29" s="5">
        <v>0.1</v>
      </c>
      <c r="P29" s="32" t="str">
        <f>IF(ISBLANK(O29),"",IF(J29="Yes",IF(O29&gt;K29,"A",IF(O29&gt;L29,"B",IF(O29&gt;M29,"C","D"))),IF(O29&lt;K29,"A",IF(O29&lt;L29,"B",IF(O29&lt;M29,"C","D")))))</f>
        <v>B</v>
      </c>
      <c r="Q29" s="33">
        <f>IF(P29="A",4,IF(P29="B",3,IF(P29="C",2,IF(P29="D",1,""))))</f>
        <v>3</v>
      </c>
      <c r="R29" s="34" t="s">
        <v>116</v>
      </c>
      <c r="S29" s="34" t="s">
        <v>117</v>
      </c>
      <c r="T29" s="34" t="s">
        <v>118</v>
      </c>
    </row>
    <row r="30" spans="1:20" outlineLevel="2" x14ac:dyDescent="0.25">
      <c r="A30" s="27" t="s">
        <v>119</v>
      </c>
      <c r="B30" s="28"/>
      <c r="C30" s="28"/>
      <c r="D30" s="28"/>
      <c r="E30" s="28"/>
      <c r="F30" s="28"/>
      <c r="G30" s="14">
        <v>0.25</v>
      </c>
      <c r="H30" s="29">
        <f>IFERROR(G30/SUM($G$29:$G$32),0)</f>
        <v>0.25</v>
      </c>
      <c r="I30" s="30">
        <f>H30*$F$28</f>
        <v>4.7663551401869154E-2</v>
      </c>
      <c r="J30" s="5" t="s">
        <v>54</v>
      </c>
      <c r="K30" s="5">
        <v>0.1</v>
      </c>
      <c r="L30" s="5">
        <v>0.03</v>
      </c>
      <c r="M30" s="5">
        <v>0</v>
      </c>
      <c r="N30" s="31" t="str">
        <f>IF(J30="Yes","A: ≥ "&amp;K30&amp;"  |  B: "&amp;L30&amp;"-"&amp;K30&amp;"  |  C: "&amp;M30&amp;"-"&amp;L30&amp;"  |  D: &lt; "&amp;M30,"A: ≤ "&amp;K30&amp;"  |  B: "&amp;K30&amp;"-"&amp;L30&amp;"  |  C: "&amp;L30&amp;"-"&amp;M30&amp;"  |  D: &gt; "&amp;M30)</f>
        <v>A: ≥ 0.1  |  B: 0.03-0.1  |  C: 0-0.03  |  D: &lt; 0</v>
      </c>
      <c r="O30" s="5">
        <v>0.05</v>
      </c>
      <c r="P30" s="32" t="str">
        <f>IF(ISBLANK(O30),"",IF(J30="Yes",IF(O30&gt;K30,"A",IF(O30&gt;L30,"B",IF(O30&gt;M30,"C","D"))),IF(O30&lt;K30,"A",IF(O30&lt;L30,"B",IF(O30&lt;M30,"C","D")))))</f>
        <v>B</v>
      </c>
      <c r="Q30" s="33">
        <f>IF(P30="A",4,IF(P30="B",3,IF(P30="C",2,IF(P30="D",1,""))))</f>
        <v>3</v>
      </c>
      <c r="R30" s="34" t="s">
        <v>116</v>
      </c>
      <c r="S30" s="34" t="s">
        <v>120</v>
      </c>
      <c r="T30" s="34" t="s">
        <v>121</v>
      </c>
    </row>
    <row r="31" spans="1:20" outlineLevel="2" x14ac:dyDescent="0.25">
      <c r="A31" s="27" t="s">
        <v>122</v>
      </c>
      <c r="B31" s="28"/>
      <c r="C31" s="28"/>
      <c r="D31" s="28"/>
      <c r="E31" s="28"/>
      <c r="F31" s="28"/>
      <c r="G31" s="14">
        <v>0.25</v>
      </c>
      <c r="H31" s="29">
        <f>IFERROR(G31/SUM($G$29:$G$32),0)</f>
        <v>0.25</v>
      </c>
      <c r="I31" s="30">
        <f>H31*$F$28</f>
        <v>4.7663551401869154E-2</v>
      </c>
      <c r="J31" s="5" t="s">
        <v>54</v>
      </c>
      <c r="K31" s="5">
        <v>5</v>
      </c>
      <c r="L31" s="5">
        <v>0</v>
      </c>
      <c r="M31" s="5">
        <v>-5</v>
      </c>
      <c r="N31" s="31" t="str">
        <f>IF(J31="Yes","A: ≥ "&amp;K31&amp;"  |  B: "&amp;L31&amp;"-"&amp;K31&amp;"  |  C: "&amp;M31&amp;"-"&amp;L31&amp;"  |  D: &lt; "&amp;M31,"A: ≤ "&amp;K31&amp;"  |  B: "&amp;K31&amp;"-"&amp;L31&amp;"  |  C: "&amp;L31&amp;"-"&amp;M31&amp;"  |  D: &gt; "&amp;M31)</f>
        <v>A: ≥ 5  |  B: 0-5  |  C: -5-0  |  D: &lt; -5</v>
      </c>
      <c r="O31" s="5">
        <v>3</v>
      </c>
      <c r="P31" s="32" t="str">
        <f>IF(ISBLANK(O31),"",IF(J31="Yes",IF(O31&gt;K31,"A",IF(O31&gt;L31,"B",IF(O31&gt;M31,"C","D"))),IF(O31&lt;K31,"A",IF(O31&lt;L31,"B",IF(O31&lt;M31,"C","D")))))</f>
        <v>B</v>
      </c>
      <c r="Q31" s="33">
        <f>IF(P31="A",4,IF(P31="B",3,IF(P31="C",2,IF(P31="D",1,""))))</f>
        <v>3</v>
      </c>
      <c r="R31" s="34" t="s">
        <v>116</v>
      </c>
      <c r="S31" s="34" t="s">
        <v>123</v>
      </c>
      <c r="T31" s="34" t="s">
        <v>124</v>
      </c>
    </row>
    <row r="32" spans="1:20" outlineLevel="2" x14ac:dyDescent="0.25">
      <c r="A32" s="27" t="s">
        <v>125</v>
      </c>
      <c r="B32" s="28"/>
      <c r="C32" s="28"/>
      <c r="D32" s="28"/>
      <c r="E32" s="28"/>
      <c r="F32" s="28"/>
      <c r="G32" s="14">
        <v>0.25</v>
      </c>
      <c r="H32" s="29">
        <f>IFERROR(G32/SUM($G$29:$G$32),0)</f>
        <v>0.25</v>
      </c>
      <c r="I32" s="30">
        <f>H32*$F$28</f>
        <v>4.7663551401869154E-2</v>
      </c>
      <c r="J32" s="5" t="s">
        <v>54</v>
      </c>
      <c r="K32" s="5">
        <v>5</v>
      </c>
      <c r="L32" s="5">
        <v>0</v>
      </c>
      <c r="M32" s="5">
        <v>-10</v>
      </c>
      <c r="N32" s="31" t="str">
        <f>IF(J32="Yes","A: ≥ "&amp;K32&amp;"  |  B: "&amp;L32&amp;"-"&amp;K32&amp;"  |  C: "&amp;M32&amp;"-"&amp;L32&amp;"  |  D: &lt; "&amp;M32,"A: ≤ "&amp;K32&amp;"  |  B: "&amp;K32&amp;"-"&amp;L32&amp;"  |  C: "&amp;L32&amp;"-"&amp;M32&amp;"  |  D: &gt; "&amp;M32)</f>
        <v>A: ≥ 5  |  B: 0-5  |  C: -10-0  |  D: &lt; -10</v>
      </c>
      <c r="O32" s="5">
        <v>8</v>
      </c>
      <c r="P32" s="32" t="str">
        <f>IF(ISBLANK(O32),"",IF(J32="Yes",IF(O32&gt;K32,"A",IF(O32&gt;L32,"B",IF(O32&gt;M32,"C","D"))),IF(O32&lt;K32,"A",IF(O32&lt;L32,"B",IF(O32&lt;M32,"C","D")))))</f>
        <v>A</v>
      </c>
      <c r="Q32" s="33">
        <f>IF(P32="A",4,IF(P32="B",3,IF(P32="C",2,IF(P32="D",1,""))))</f>
        <v>4</v>
      </c>
      <c r="R32" s="34" t="s">
        <v>116</v>
      </c>
      <c r="S32" s="34" t="s">
        <v>126</v>
      </c>
      <c r="T32" s="34" t="s">
        <v>127</v>
      </c>
    </row>
    <row r="33" spans="1:20" outlineLevel="1" x14ac:dyDescent="0.25">
      <c r="A33" s="18" t="s">
        <v>128</v>
      </c>
      <c r="B33" s="19"/>
      <c r="C33" s="19"/>
      <c r="D33" s="14">
        <v>0.4</v>
      </c>
      <c r="E33" s="20">
        <f>IFERROR(D33/SUM(D28,D33),0)</f>
        <v>0.4</v>
      </c>
      <c r="F33" s="21">
        <f>E33*$C$27</f>
        <v>0.12710280373831775</v>
      </c>
      <c r="G33" s="26">
        <f>SUM(G34:G36)</f>
        <v>1</v>
      </c>
      <c r="H33" s="26">
        <f>SUM(H34:H36)</f>
        <v>1</v>
      </c>
      <c r="I33" s="2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outlineLevel="2" x14ac:dyDescent="0.25">
      <c r="A34" s="27" t="s">
        <v>129</v>
      </c>
      <c r="B34" s="28"/>
      <c r="C34" s="28"/>
      <c r="D34" s="28"/>
      <c r="E34" s="28"/>
      <c r="F34" s="28"/>
      <c r="G34" s="14">
        <v>0.33</v>
      </c>
      <c r="H34" s="29">
        <f>IFERROR(G34/SUM($G$34:$G$36),0)</f>
        <v>0.33</v>
      </c>
      <c r="I34" s="30">
        <f>H34*$F$33</f>
        <v>4.194392523364486E-2</v>
      </c>
      <c r="J34" s="5" t="s">
        <v>54</v>
      </c>
      <c r="K34" s="5">
        <v>1</v>
      </c>
      <c r="L34" s="5">
        <v>0</v>
      </c>
      <c r="M34" s="5">
        <v>-0.5</v>
      </c>
      <c r="N34" s="31" t="str">
        <f>IF(J34="Yes","A: ≥ "&amp;K34&amp;"  |  B: "&amp;L34&amp;"-"&amp;K34&amp;"  |  C: "&amp;M34&amp;"-"&amp;L34&amp;"  |  D: &lt; "&amp;M34,"A: ≤ "&amp;K34&amp;"  |  B: "&amp;K34&amp;"-"&amp;L34&amp;"  |  C: "&amp;L34&amp;"-"&amp;M34&amp;"  |  D: &gt; "&amp;M34)</f>
        <v>A: ≥ 1  |  B: 0-1  |  C: -0.5-0  |  D: &lt; -0.5</v>
      </c>
      <c r="O34" s="5">
        <v>0.5</v>
      </c>
      <c r="P34" s="32" t="str">
        <f>IF(ISBLANK(O34),"",IF(J34="Yes",IF(O34&gt;K34,"A",IF(O34&gt;L34,"B",IF(O34&gt;M34,"C","D"))),IF(O34&lt;K34,"A",IF(O34&lt;L34,"B",IF(O34&lt;M34,"C","D")))))</f>
        <v>B</v>
      </c>
      <c r="Q34" s="33">
        <f>IF(P34="A",4,IF(P34="B",3,IF(P34="C",2,IF(P34="D",1,""))))</f>
        <v>3</v>
      </c>
      <c r="R34" s="34" t="s">
        <v>116</v>
      </c>
      <c r="S34" s="34" t="s">
        <v>130</v>
      </c>
      <c r="T34" s="34" t="s">
        <v>131</v>
      </c>
    </row>
    <row r="35" spans="1:20" outlineLevel="2" x14ac:dyDescent="0.25">
      <c r="A35" s="27" t="s">
        <v>132</v>
      </c>
      <c r="B35" s="28"/>
      <c r="C35" s="28"/>
      <c r="D35" s="28"/>
      <c r="E35" s="28"/>
      <c r="F35" s="28"/>
      <c r="G35" s="14">
        <v>0.34</v>
      </c>
      <c r="H35" s="29">
        <f>IFERROR(G35/SUM($G$34:$G$36),0)</f>
        <v>0.34</v>
      </c>
      <c r="I35" s="30">
        <f>H35*$F$33</f>
        <v>4.3214953271028041E-2</v>
      </c>
      <c r="J35" s="5" t="s">
        <v>54</v>
      </c>
      <c r="K35" s="5">
        <v>80</v>
      </c>
      <c r="L35" s="5">
        <v>50</v>
      </c>
      <c r="M35" s="5">
        <v>20</v>
      </c>
      <c r="N35" s="31" t="str">
        <f>IF(J35="Yes","A: ≥ "&amp;K35&amp;"  |  B: "&amp;L35&amp;"-"&amp;K35&amp;"  |  C: "&amp;M35&amp;"-"&amp;L35&amp;"  |  D: &lt; "&amp;M35,"A: ≤ "&amp;K35&amp;"  |  B: "&amp;K35&amp;"-"&amp;L35&amp;"  |  C: "&amp;L35&amp;"-"&amp;M35&amp;"  |  D: &gt; "&amp;M35)</f>
        <v>A: ≥ 80  |  B: 50-80  |  C: 20-50  |  D: &lt; 20</v>
      </c>
      <c r="O35" s="5">
        <v>65</v>
      </c>
      <c r="P35" s="32" t="str">
        <f>IF(ISBLANK(O35),"",IF(J35="Yes",IF(O35&gt;K35,"A",IF(O35&gt;L35,"B",IF(O35&gt;M35,"C","D"))),IF(O35&lt;K35,"A",IF(O35&lt;L35,"B",IF(O35&lt;M35,"C","D")))))</f>
        <v>B</v>
      </c>
      <c r="Q35" s="33">
        <f>IF(P35="A",4,IF(P35="B",3,IF(P35="C",2,IF(P35="D",1,""))))</f>
        <v>3</v>
      </c>
      <c r="R35" s="34" t="s">
        <v>116</v>
      </c>
      <c r="S35" s="34" t="s">
        <v>133</v>
      </c>
      <c r="T35" s="34" t="s">
        <v>134</v>
      </c>
    </row>
    <row r="36" spans="1:20" outlineLevel="2" x14ac:dyDescent="0.25">
      <c r="A36" s="27" t="s">
        <v>135</v>
      </c>
      <c r="B36" s="28"/>
      <c r="C36" s="28"/>
      <c r="D36" s="28"/>
      <c r="E36" s="28"/>
      <c r="F36" s="28"/>
      <c r="G36" s="14">
        <v>0.33</v>
      </c>
      <c r="H36" s="29">
        <f>IFERROR(G36/SUM($G$34:$G$36),0)</f>
        <v>0.33</v>
      </c>
      <c r="I36" s="30">
        <f>H36*$F$33</f>
        <v>4.194392523364486E-2</v>
      </c>
      <c r="J36" s="5" t="s">
        <v>54</v>
      </c>
      <c r="K36" s="5">
        <v>70</v>
      </c>
      <c r="L36" s="5">
        <v>50</v>
      </c>
      <c r="M36" s="5">
        <v>30</v>
      </c>
      <c r="N36" s="31" t="str">
        <f>IF(J36="Yes","A: ≥ "&amp;K36&amp;"  |  B: "&amp;L36&amp;"-"&amp;K36&amp;"  |  C: "&amp;M36&amp;"-"&amp;L36&amp;"  |  D: &lt; "&amp;M36,"A: ≤ "&amp;K36&amp;"  |  B: "&amp;K36&amp;"-"&amp;L36&amp;"  |  C: "&amp;L36&amp;"-"&amp;M36&amp;"  |  D: &gt; "&amp;M36)</f>
        <v>A: ≥ 70  |  B: 50-70  |  C: 30-50  |  D: &lt; 30</v>
      </c>
      <c r="O36" s="5">
        <v>55</v>
      </c>
      <c r="P36" s="32" t="str">
        <f>IF(ISBLANK(O36),"",IF(J36="Yes",IF(O36&gt;K36,"A",IF(O36&gt;L36,"B",IF(O36&gt;M36,"C","D"))),IF(O36&lt;K36,"A",IF(O36&lt;L36,"B",IF(O36&lt;M36,"C","D")))))</f>
        <v>B</v>
      </c>
      <c r="Q36" s="33">
        <f>IF(P36="A",4,IF(P36="B",3,IF(P36="C",2,IF(P36="D",1,""))))</f>
        <v>3</v>
      </c>
      <c r="R36" s="34" t="s">
        <v>116</v>
      </c>
      <c r="S36" s="34" t="s">
        <v>136</v>
      </c>
      <c r="T36" s="34" t="s">
        <v>137</v>
      </c>
    </row>
    <row r="38" spans="1:20" x14ac:dyDescent="0.25">
      <c r="H38" s="38" t="s">
        <v>147</v>
      </c>
      <c r="I38" s="37">
        <f>SUM(I6:I37)</f>
        <v>0.99999999999999989</v>
      </c>
    </row>
  </sheetData>
  <mergeCells count="2">
    <mergeCell ref="A1:T1"/>
    <mergeCell ref="A2:T2"/>
  </mergeCells>
  <conditionalFormatting sqref="P6:P7">
    <cfRule type="expression" dxfId="47" priority="1">
      <formula>P6="A"</formula>
    </cfRule>
    <cfRule type="expression" dxfId="46" priority="2">
      <formula>P6="B"</formula>
    </cfRule>
    <cfRule type="expression" dxfId="45" priority="3">
      <formula>P6="C"</formula>
    </cfRule>
    <cfRule type="expression" dxfId="44" priority="4">
      <formula>P6="D"</formula>
    </cfRule>
  </conditionalFormatting>
  <conditionalFormatting sqref="P10:P12">
    <cfRule type="expression" dxfId="43" priority="5">
      <formula>P10="A"</formula>
    </cfRule>
    <cfRule type="expression" dxfId="42" priority="6">
      <formula>P10="B"</formula>
    </cfRule>
    <cfRule type="expression" dxfId="41" priority="7">
      <formula>P10="C"</formula>
    </cfRule>
    <cfRule type="expression" dxfId="40" priority="8">
      <formula>P10="D"</formula>
    </cfRule>
  </conditionalFormatting>
  <conditionalFormatting sqref="P14:P17">
    <cfRule type="expression" dxfId="39" priority="9">
      <formula>P14="A"</formula>
    </cfRule>
    <cfRule type="expression" dxfId="38" priority="10">
      <formula>P14="B"</formula>
    </cfRule>
    <cfRule type="expression" dxfId="37" priority="11">
      <formula>P14="C"</formula>
    </cfRule>
    <cfRule type="expression" dxfId="36" priority="12">
      <formula>P14="D"</formula>
    </cfRule>
  </conditionalFormatting>
  <conditionalFormatting sqref="P19:P26">
    <cfRule type="expression" dxfId="35" priority="13">
      <formula>P19="A"</formula>
    </cfRule>
    <cfRule type="expression" dxfId="34" priority="14">
      <formula>P19="B"</formula>
    </cfRule>
    <cfRule type="expression" dxfId="33" priority="15">
      <formula>P19="C"</formula>
    </cfRule>
    <cfRule type="expression" dxfId="32" priority="16">
      <formula>P19="D"</formula>
    </cfRule>
  </conditionalFormatting>
  <conditionalFormatting sqref="P29:P32">
    <cfRule type="expression" dxfId="31" priority="17">
      <formula>P29="A"</formula>
    </cfRule>
    <cfRule type="expression" dxfId="30" priority="18">
      <formula>P29="B"</formula>
    </cfRule>
    <cfRule type="expression" dxfId="29" priority="19">
      <formula>P29="C"</formula>
    </cfRule>
    <cfRule type="expression" dxfId="28" priority="20">
      <formula>P29="D"</formula>
    </cfRule>
  </conditionalFormatting>
  <conditionalFormatting sqref="P34:P36">
    <cfRule type="expression" dxfId="27" priority="21">
      <formula>P34="A"</formula>
    </cfRule>
    <cfRule type="expression" dxfId="26" priority="22">
      <formula>P34="B"</formula>
    </cfRule>
    <cfRule type="expression" dxfId="25" priority="23">
      <formula>P34="C"</formula>
    </cfRule>
    <cfRule type="expression" dxfId="24" priority="24">
      <formula>P34="D"</formula>
    </cfRule>
  </conditionalFormatting>
  <dataValidations count="1">
    <dataValidation type="list" sqref="J6:J7 J10:J12 J14:J17 J19:J26 J29:J32 J34:J36" xr:uid="{EF1C606F-BD93-469B-8A9C-E9FD5E4DD229}">
      <formula1>"Yes,No"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C202-57BD-4CCB-A12F-E569BCC91EC2}">
  <dimension ref="A1:U38"/>
  <sheetViews>
    <sheetView workbookViewId="0">
      <selection activeCell="W9" sqref="W9"/>
    </sheetView>
  </sheetViews>
  <sheetFormatPr defaultColWidth="8.7109375" defaultRowHeight="15" outlineLevelRow="2" outlineLevelCol="1" x14ac:dyDescent="0.25"/>
  <cols>
    <col min="1" max="1" width="34" customWidth="1"/>
    <col min="2" max="2" width="11" customWidth="1"/>
    <col min="3" max="3" width="11.42578125" customWidth="1"/>
    <col min="4" max="4" width="12.5703125" customWidth="1"/>
    <col min="5" max="5" width="12.42578125" customWidth="1"/>
    <col min="6" max="6" width="13" customWidth="1"/>
    <col min="7" max="7" width="11.7109375" customWidth="1"/>
    <col min="8" max="9" width="12" customWidth="1"/>
    <col min="10" max="10" width="8.5703125" customWidth="1"/>
    <col min="11" max="13" width="9.5703125" customWidth="1"/>
    <col min="14" max="14" width="38.28515625" customWidth="1"/>
    <col min="15" max="15" width="10" customWidth="1"/>
    <col min="16" max="17" width="8" customWidth="1"/>
    <col min="18" max="18" width="14" hidden="1" customWidth="1" outlineLevel="1"/>
    <col min="19" max="19" width="22" hidden="1" customWidth="1" outlineLevel="1"/>
    <col min="20" max="20" width="42" hidden="1" customWidth="1" outlineLevel="1"/>
    <col min="21" max="21" width="8.7109375" collapsed="1"/>
  </cols>
  <sheetData>
    <row r="1" spans="1:20" ht="25.5" customHeight="1" x14ac:dyDescent="0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4" customHeight="1" x14ac:dyDescent="0.25">
      <c r="A2" s="40" t="s">
        <v>39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31.5" customHeight="1" x14ac:dyDescent="0.25">
      <c r="A3" s="4" t="s">
        <v>40</v>
      </c>
      <c r="B3" s="8" t="s">
        <v>138</v>
      </c>
      <c r="C3" s="4" t="s">
        <v>139</v>
      </c>
      <c r="D3" s="8" t="s">
        <v>140</v>
      </c>
      <c r="E3" s="4" t="s">
        <v>141</v>
      </c>
      <c r="F3" s="4" t="s">
        <v>146</v>
      </c>
      <c r="G3" s="8" t="s">
        <v>142</v>
      </c>
      <c r="H3" s="4" t="s">
        <v>143</v>
      </c>
      <c r="I3" s="4" t="s">
        <v>144</v>
      </c>
      <c r="J3" s="8" t="s">
        <v>41</v>
      </c>
      <c r="K3" s="8" t="s">
        <v>42</v>
      </c>
      <c r="L3" s="8" t="s">
        <v>43</v>
      </c>
      <c r="M3" s="8" t="s">
        <v>44</v>
      </c>
      <c r="N3" s="4" t="s">
        <v>45</v>
      </c>
      <c r="O3" s="8" t="s">
        <v>145</v>
      </c>
      <c r="P3" s="4" t="s">
        <v>46</v>
      </c>
      <c r="Q3" s="4" t="s">
        <v>47</v>
      </c>
      <c r="R3" s="4" t="s">
        <v>48</v>
      </c>
      <c r="S3" s="4" t="s">
        <v>49</v>
      </c>
      <c r="T3" s="4" t="s">
        <v>50</v>
      </c>
    </row>
    <row r="4" spans="1:20" ht="21.75" customHeight="1" x14ac:dyDescent="0.25">
      <c r="A4" s="9" t="s">
        <v>51</v>
      </c>
      <c r="B4" s="10">
        <f>B5+B8+B27</f>
        <v>1</v>
      </c>
      <c r="C4" s="11">
        <f>C5+C8+C27</f>
        <v>1</v>
      </c>
      <c r="D4" s="12"/>
      <c r="E4" s="12"/>
      <c r="F4" s="11">
        <f>F6+F7+F9+F13+F18+F26+F28+F33</f>
        <v>1</v>
      </c>
      <c r="G4" s="12"/>
      <c r="H4" s="12"/>
      <c r="I4" s="11">
        <f>I6+I7+I10+I11+I12+I14+I15+I16+I17+I19+I20+I21+I22+I23+I24+I25+I26+I29+I30+I31+I32+I34+I35+I36</f>
        <v>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24" customHeight="1" x14ac:dyDescent="0.25">
      <c r="A5" s="13" t="s">
        <v>52</v>
      </c>
      <c r="B5" s="14">
        <v>0.33</v>
      </c>
      <c r="C5" s="15">
        <f>IFERROR(B5/SUM(B5,B8,B27),0)</f>
        <v>0.33</v>
      </c>
      <c r="D5" s="16">
        <f>D6+D7</f>
        <v>1</v>
      </c>
      <c r="E5" s="16">
        <f>E6+E7</f>
        <v>1</v>
      </c>
      <c r="F5" s="16">
        <f>F6+F7</f>
        <v>0.33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6" spans="1:20" outlineLevel="1" x14ac:dyDescent="0.25">
      <c r="A6" s="18" t="s">
        <v>53</v>
      </c>
      <c r="B6" s="19"/>
      <c r="C6" s="19"/>
      <c r="D6" s="14">
        <v>0.5</v>
      </c>
      <c r="E6" s="20">
        <f>IFERROR(D6/SUM(D6,D7),0)</f>
        <v>0.5</v>
      </c>
      <c r="F6" s="21">
        <f>E6*$C$5</f>
        <v>0.16500000000000001</v>
      </c>
      <c r="G6" s="19"/>
      <c r="H6" s="19"/>
      <c r="I6" s="21">
        <f>F6</f>
        <v>0.16500000000000001</v>
      </c>
      <c r="J6" s="5" t="s">
        <v>54</v>
      </c>
      <c r="K6" s="5">
        <v>0.35</v>
      </c>
      <c r="L6" s="5">
        <v>0.15</v>
      </c>
      <c r="M6" s="5">
        <v>0</v>
      </c>
      <c r="N6" s="22" t="str">
        <f>IF(J6="Yes","A: ≥ "&amp;K6&amp;"  |  B: "&amp;L6&amp;"-"&amp;K6&amp;"  |  C: "&amp;M6&amp;"-"&amp;L6&amp;"  |  D: &lt; "&amp;M6,"A: ≤ "&amp;K6&amp;"  |  B: "&amp;K6&amp;"-"&amp;L6&amp;"  |  C: "&amp;L6&amp;"-"&amp;M6&amp;"  |  D: &gt; "&amp;M6)</f>
        <v>A: ≥ 0.35  |  B: 0.15-0.35  |  C: 0-0.15  |  D: &lt; 0</v>
      </c>
      <c r="O6" s="5">
        <v>0.2</v>
      </c>
      <c r="P6" s="23" t="str">
        <f>IF(ISBLANK(O6),"",IF(J6="Yes",IF(O6&gt;K6,"A",IF(O6&gt;L6,"B",IF(O6&gt;M6,"C","D"))),IF(O6&lt;K6,"A",IF(O6&lt;L6,"B",IF(O6&lt;M6,"C","D")))))</f>
        <v>B</v>
      </c>
      <c r="Q6" s="24">
        <f>IF(P6="A",4,IF(P6="B",3,IF(P6="C",2,IF(P6="D",1,""))))</f>
        <v>3</v>
      </c>
      <c r="R6" s="25" t="s">
        <v>55</v>
      </c>
      <c r="S6" s="25" t="s">
        <v>56</v>
      </c>
      <c r="T6" s="25" t="s">
        <v>57</v>
      </c>
    </row>
    <row r="7" spans="1:20" outlineLevel="1" x14ac:dyDescent="0.25">
      <c r="A7" s="18" t="s">
        <v>58</v>
      </c>
      <c r="B7" s="19"/>
      <c r="C7" s="19"/>
      <c r="D7" s="14">
        <v>0.5</v>
      </c>
      <c r="E7" s="20">
        <f>IFERROR(D7/SUM(D6,D7),0)</f>
        <v>0.5</v>
      </c>
      <c r="F7" s="21">
        <f>E7*$C$5</f>
        <v>0.16500000000000001</v>
      </c>
      <c r="G7" s="19"/>
      <c r="H7" s="19"/>
      <c r="I7" s="21">
        <f>F7</f>
        <v>0.16500000000000001</v>
      </c>
      <c r="J7" s="5" t="s">
        <v>54</v>
      </c>
      <c r="K7" s="5">
        <v>0.5</v>
      </c>
      <c r="L7" s="5">
        <v>0.2</v>
      </c>
      <c r="M7" s="5">
        <v>0</v>
      </c>
      <c r="N7" s="22" t="str">
        <f>IF(J7="Yes","A: ≥ "&amp;K7&amp;"  |  B: "&amp;L7&amp;"-"&amp;K7&amp;"  |  C: "&amp;M7&amp;"-"&amp;L7&amp;"  |  D: &lt; "&amp;M7,"A: ≤ "&amp;K7&amp;"  |  B: "&amp;K7&amp;"-"&amp;L7&amp;"  |  C: "&amp;L7&amp;"-"&amp;M7&amp;"  |  D: &gt; "&amp;M7)</f>
        <v>A: ≥ 0.5  |  B: 0.2-0.5  |  C: 0-0.2  |  D: &lt; 0</v>
      </c>
      <c r="O7" s="5">
        <v>0.25</v>
      </c>
      <c r="P7" s="23" t="str">
        <f>IF(ISBLANK(O7),"",IF(J7="Yes",IF(O7&gt;K7,"A",IF(O7&gt;L7,"B",IF(O7&gt;M7,"C","D"))),IF(O7&lt;K7,"A",IF(O7&lt;L7,"B",IF(O7&lt;M7,"C","D")))))</f>
        <v>B</v>
      </c>
      <c r="Q7" s="24">
        <f>IF(P7="A",4,IF(P7="B",3,IF(P7="C",2,IF(P7="D",1,""))))</f>
        <v>3</v>
      </c>
      <c r="R7" s="25" t="s">
        <v>59</v>
      </c>
      <c r="S7" s="25" t="s">
        <v>60</v>
      </c>
      <c r="T7" s="25" t="s">
        <v>61</v>
      </c>
    </row>
    <row r="8" spans="1:20" ht="24" customHeight="1" x14ac:dyDescent="0.25">
      <c r="A8" s="13" t="s">
        <v>62</v>
      </c>
      <c r="B8" s="14">
        <v>0.33</v>
      </c>
      <c r="C8" s="15">
        <f>IFERROR(B8/SUM(B5,B8,B27),0)</f>
        <v>0.33</v>
      </c>
      <c r="D8" s="16">
        <f>D9+D13+D18+D26</f>
        <v>1</v>
      </c>
      <c r="E8" s="16">
        <f>E9+E13+E18+E26</f>
        <v>1</v>
      </c>
      <c r="F8" s="16">
        <f>F9+F13+F18+F26</f>
        <v>0.33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outlineLevel="1" x14ac:dyDescent="0.25">
      <c r="A9" s="18" t="s">
        <v>63</v>
      </c>
      <c r="B9" s="19"/>
      <c r="C9" s="19"/>
      <c r="D9" s="14">
        <v>0.25</v>
      </c>
      <c r="E9" s="20">
        <f>IFERROR(D9/SUM(D9,D13,D18,D26),0)</f>
        <v>0.25</v>
      </c>
      <c r="F9" s="21">
        <f>E9*$C$8</f>
        <v>8.2500000000000004E-2</v>
      </c>
      <c r="G9" s="26">
        <f>SUM(G10:G12)</f>
        <v>1</v>
      </c>
      <c r="H9" s="26">
        <f>SUM(H10:H12)</f>
        <v>1</v>
      </c>
      <c r="I9" s="26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outlineLevel="2" x14ac:dyDescent="0.25">
      <c r="A10" s="27" t="s">
        <v>64</v>
      </c>
      <c r="B10" s="28"/>
      <c r="C10" s="28"/>
      <c r="D10" s="28"/>
      <c r="E10" s="28"/>
      <c r="F10" s="28"/>
      <c r="G10" s="14">
        <v>0.33</v>
      </c>
      <c r="H10" s="29">
        <f>IFERROR(G10/SUM($G$10:$G$12),0)</f>
        <v>0.33</v>
      </c>
      <c r="I10" s="30">
        <f>H10*$F$9</f>
        <v>2.7225000000000003E-2</v>
      </c>
      <c r="J10" s="5" t="s">
        <v>65</v>
      </c>
      <c r="K10" s="5">
        <v>10</v>
      </c>
      <c r="L10" s="5">
        <v>20</v>
      </c>
      <c r="M10" s="5">
        <v>30</v>
      </c>
      <c r="N10" s="31" t="str">
        <f>IF(J10="Yes","A: ≥ "&amp;K10&amp;"  |  B: "&amp;L10&amp;"-"&amp;K10&amp;"  |  C: "&amp;M10&amp;"-"&amp;L10&amp;"  |  D: &lt; "&amp;M10,"A: ≤ "&amp;K10&amp;"  |  B: "&amp;K10&amp;"-"&amp;L10&amp;"  |  C: "&amp;L10&amp;"-"&amp;M10&amp;"  |  D: &gt; "&amp;M10)</f>
        <v>A: ≤ 10  |  B: 10-20  |  C: 20-30  |  D: &gt; 30</v>
      </c>
      <c r="O10" s="5">
        <v>15</v>
      </c>
      <c r="P10" s="32" t="str">
        <f>IF(ISBLANK(O10),"",IF(J10="Yes",IF(O10&gt;K10,"A",IF(O10&gt;L10,"B",IF(O10&gt;M10,"C","D"))),IF(O10&lt;K10,"A",IF(O10&lt;L10,"B",IF(O10&lt;M10,"C","D")))))</f>
        <v>B</v>
      </c>
      <c r="Q10" s="33">
        <f>IF(P10="A",4,IF(P10="B",3,IF(P10="C",2,IF(P10="D",1,""))))</f>
        <v>3</v>
      </c>
      <c r="R10" s="34" t="s">
        <v>66</v>
      </c>
      <c r="S10" s="34" t="s">
        <v>67</v>
      </c>
      <c r="T10" s="34" t="s">
        <v>68</v>
      </c>
    </row>
    <row r="11" spans="1:20" outlineLevel="2" x14ac:dyDescent="0.25">
      <c r="A11" s="27" t="s">
        <v>69</v>
      </c>
      <c r="B11" s="28"/>
      <c r="C11" s="28"/>
      <c r="D11" s="28"/>
      <c r="E11" s="28"/>
      <c r="F11" s="28"/>
      <c r="G11" s="14">
        <v>0.33</v>
      </c>
      <c r="H11" s="29">
        <f>IFERROR(G11/SUM($G$10:$G$12),0)</f>
        <v>0.33</v>
      </c>
      <c r="I11" s="30">
        <f>H11*$F$9</f>
        <v>2.7225000000000003E-2</v>
      </c>
      <c r="J11" s="5" t="s">
        <v>65</v>
      </c>
      <c r="K11" s="5">
        <v>1</v>
      </c>
      <c r="L11" s="5">
        <v>1.5</v>
      </c>
      <c r="M11" s="5">
        <v>2</v>
      </c>
      <c r="N11" s="31" t="str">
        <f>IF(J11="Yes","A: ≥ "&amp;K11&amp;"  |  B: "&amp;L11&amp;"-"&amp;K11&amp;"  |  C: "&amp;M11&amp;"-"&amp;L11&amp;"  |  D: &lt; "&amp;M11,"A: ≤ "&amp;K11&amp;"  |  B: "&amp;K11&amp;"-"&amp;L11&amp;"  |  C: "&amp;L11&amp;"-"&amp;M11&amp;"  |  D: &gt; "&amp;M11)</f>
        <v>A: ≤ 1  |  B: 1-1.5  |  C: 1.5-2  |  D: &gt; 2</v>
      </c>
      <c r="O11" s="5">
        <v>2.5</v>
      </c>
      <c r="P11" s="32" t="str">
        <f>IF(ISBLANK(O11),"",IF(J11="Yes",IF(O11&gt;K11,"A",IF(O11&gt;L11,"B",IF(O11&gt;M11,"C","D"))),IF(O11&lt;K11,"A",IF(O11&lt;L11,"B",IF(O11&lt;M11,"C","D")))))</f>
        <v>D</v>
      </c>
      <c r="Q11" s="33">
        <f>IF(P11="A",4,IF(P11="B",3,IF(P11="C",2,IF(P11="D",1,""))))</f>
        <v>1</v>
      </c>
      <c r="R11" s="34" t="s">
        <v>66</v>
      </c>
      <c r="S11" s="34" t="s">
        <v>70</v>
      </c>
      <c r="T11" s="34" t="s">
        <v>71</v>
      </c>
    </row>
    <row r="12" spans="1:20" outlineLevel="2" x14ac:dyDescent="0.25">
      <c r="A12" s="27" t="s">
        <v>72</v>
      </c>
      <c r="B12" s="28"/>
      <c r="C12" s="28"/>
      <c r="D12" s="28"/>
      <c r="E12" s="28"/>
      <c r="F12" s="28"/>
      <c r="G12" s="14">
        <v>0.34</v>
      </c>
      <c r="H12" s="29">
        <f>IFERROR(G12/SUM($G$10:$G$12),0)</f>
        <v>0.34</v>
      </c>
      <c r="I12" s="30">
        <f>H12*$F$9</f>
        <v>2.8050000000000002E-2</v>
      </c>
      <c r="J12" s="5" t="s">
        <v>65</v>
      </c>
      <c r="K12" s="5">
        <v>10</v>
      </c>
      <c r="L12" s="5">
        <v>15</v>
      </c>
      <c r="M12" s="5">
        <v>20</v>
      </c>
      <c r="N12" s="31" t="str">
        <f>IF(J12="Yes","A: ≥ "&amp;K12&amp;"  |  B: "&amp;L12&amp;"-"&amp;K12&amp;"  |  C: "&amp;M12&amp;"-"&amp;L12&amp;"  |  D: &lt; "&amp;M12,"A: ≤ "&amp;K12&amp;"  |  B: "&amp;K12&amp;"-"&amp;L12&amp;"  |  C: "&amp;L12&amp;"-"&amp;M12&amp;"  |  D: &gt; "&amp;M12)</f>
        <v>A: ≤ 10  |  B: 10-15  |  C: 15-20  |  D: &gt; 20</v>
      </c>
      <c r="O12" s="5">
        <v>12</v>
      </c>
      <c r="P12" s="32" t="str">
        <f>IF(ISBLANK(O12),"",IF(J12="Yes",IF(O12&gt;K12,"A",IF(O12&gt;L12,"B",IF(O12&gt;M12,"C","D"))),IF(O12&lt;K12,"A",IF(O12&lt;L12,"B",IF(O12&lt;M12,"C","D")))))</f>
        <v>B</v>
      </c>
      <c r="Q12" s="33">
        <f>IF(P12="A",4,IF(P12="B",3,IF(P12="C",2,IF(P12="D",1,""))))</f>
        <v>3</v>
      </c>
      <c r="R12" s="34" t="s">
        <v>66</v>
      </c>
      <c r="S12" s="34" t="s">
        <v>73</v>
      </c>
      <c r="T12" s="34" t="s">
        <v>74</v>
      </c>
    </row>
    <row r="13" spans="1:20" outlineLevel="1" x14ac:dyDescent="0.25">
      <c r="A13" s="18" t="s">
        <v>75</v>
      </c>
      <c r="B13" s="19"/>
      <c r="C13" s="19"/>
      <c r="D13" s="14">
        <v>0.25</v>
      </c>
      <c r="E13" s="20">
        <f>IFERROR(D13/SUM(D9,D13,D18,D26),0)</f>
        <v>0.25</v>
      </c>
      <c r="F13" s="21">
        <f>E13*$C$8</f>
        <v>8.2500000000000004E-2</v>
      </c>
      <c r="G13" s="26">
        <f>SUM(G14:G17)</f>
        <v>1</v>
      </c>
      <c r="H13" s="26">
        <f>SUM(H14:H17)</f>
        <v>1</v>
      </c>
      <c r="I13" s="26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outlineLevel="2" x14ac:dyDescent="0.25">
      <c r="A14" s="27" t="s">
        <v>76</v>
      </c>
      <c r="B14" s="28"/>
      <c r="C14" s="28"/>
      <c r="D14" s="28"/>
      <c r="E14" s="28"/>
      <c r="F14" s="28"/>
      <c r="G14" s="14">
        <v>0.25</v>
      </c>
      <c r="H14" s="29">
        <f>IFERROR(G14/SUM($G$14:$G$17),0)</f>
        <v>0.25</v>
      </c>
      <c r="I14" s="30">
        <f>H14*$F$13</f>
        <v>2.0625000000000001E-2</v>
      </c>
      <c r="J14" s="5" t="s">
        <v>54</v>
      </c>
      <c r="K14" s="5">
        <v>25</v>
      </c>
      <c r="L14" s="5">
        <v>15</v>
      </c>
      <c r="M14" s="5">
        <v>5</v>
      </c>
      <c r="N14" s="31" t="str">
        <f>IF(J14="Yes","A: ≥ "&amp;K14&amp;"  |  B: "&amp;L14&amp;"-"&amp;K14&amp;"  |  C: "&amp;M14&amp;"-"&amp;L14&amp;"  |  D: &lt; "&amp;M14,"A: ≤ "&amp;K14&amp;"  |  B: "&amp;K14&amp;"-"&amp;L14&amp;"  |  C: "&amp;L14&amp;"-"&amp;M14&amp;"  |  D: &gt; "&amp;M14)</f>
        <v>A: ≥ 25  |  B: 15-25  |  C: 5-15  |  D: &lt; 5</v>
      </c>
      <c r="O14" s="5">
        <v>18</v>
      </c>
      <c r="P14" s="32" t="str">
        <f>IF(ISBLANK(O14),"",IF(J14="Yes",IF(O14&gt;K14,"A",IF(O14&gt;L14,"B",IF(O14&gt;M14,"C","D"))),IF(O14&lt;K14,"A",IF(O14&lt;L14,"B",IF(O14&lt;M14,"C","D")))))</f>
        <v>B</v>
      </c>
      <c r="Q14" s="33">
        <f>IF(P14="A",4,IF(P14="B",3,IF(P14="C",2,IF(P14="D",1,""))))</f>
        <v>3</v>
      </c>
      <c r="R14" s="34" t="s">
        <v>66</v>
      </c>
      <c r="S14" s="34" t="s">
        <v>77</v>
      </c>
      <c r="T14" s="34" t="s">
        <v>78</v>
      </c>
    </row>
    <row r="15" spans="1:20" outlineLevel="2" x14ac:dyDescent="0.25">
      <c r="A15" s="27" t="s">
        <v>79</v>
      </c>
      <c r="B15" s="28"/>
      <c r="C15" s="28"/>
      <c r="D15" s="28"/>
      <c r="E15" s="28"/>
      <c r="F15" s="28"/>
      <c r="G15" s="14">
        <v>0.25</v>
      </c>
      <c r="H15" s="29">
        <f>IFERROR(G15/SUM($G$14:$G$17),0)</f>
        <v>0.25</v>
      </c>
      <c r="I15" s="30">
        <f>H15*$F$13</f>
        <v>2.0625000000000001E-2</v>
      </c>
      <c r="J15" s="5" t="s">
        <v>54</v>
      </c>
      <c r="K15" s="5">
        <v>25</v>
      </c>
      <c r="L15" s="5">
        <v>15</v>
      </c>
      <c r="M15" s="5">
        <v>5</v>
      </c>
      <c r="N15" s="31" t="str">
        <f>IF(J15="Yes","A: ≥ "&amp;K15&amp;"  |  B: "&amp;L15&amp;"-"&amp;K15&amp;"  |  C: "&amp;M15&amp;"-"&amp;L15&amp;"  |  D: &lt; "&amp;M15,"A: ≤ "&amp;K15&amp;"  |  B: "&amp;K15&amp;"-"&amp;L15&amp;"  |  C: "&amp;L15&amp;"-"&amp;M15&amp;"  |  D: &gt; "&amp;M15)</f>
        <v>A: ≥ 25  |  B: 15-25  |  C: 5-15  |  D: &lt; 5</v>
      </c>
      <c r="O15" s="5">
        <v>12</v>
      </c>
      <c r="P15" s="32" t="str">
        <f>IF(ISBLANK(O15),"",IF(J15="Yes",IF(O15&gt;K15,"A",IF(O15&gt;L15,"B",IF(O15&gt;M15,"C","D"))),IF(O15&lt;K15,"A",IF(O15&lt;L15,"B",IF(O15&lt;M15,"C","D")))))</f>
        <v>C</v>
      </c>
      <c r="Q15" s="33">
        <f>IF(P15="A",4,IF(P15="B",3,IF(P15="C",2,IF(P15="D",1,""))))</f>
        <v>2</v>
      </c>
      <c r="R15" s="34" t="s">
        <v>66</v>
      </c>
      <c r="S15" s="34" t="s">
        <v>80</v>
      </c>
      <c r="T15" s="34" t="s">
        <v>81</v>
      </c>
    </row>
    <row r="16" spans="1:20" outlineLevel="2" x14ac:dyDescent="0.25">
      <c r="A16" s="27" t="s">
        <v>82</v>
      </c>
      <c r="B16" s="28"/>
      <c r="C16" s="28"/>
      <c r="D16" s="28"/>
      <c r="E16" s="28"/>
      <c r="F16" s="28"/>
      <c r="G16" s="14">
        <v>0.25</v>
      </c>
      <c r="H16" s="29">
        <f>IFERROR(G16/SUM($G$14:$G$17),0)</f>
        <v>0.25</v>
      </c>
      <c r="I16" s="30">
        <f>H16*$F$13</f>
        <v>2.0625000000000001E-2</v>
      </c>
      <c r="J16" s="5" t="s">
        <v>65</v>
      </c>
      <c r="K16" s="5">
        <v>0</v>
      </c>
      <c r="L16" s="5">
        <v>0.5</v>
      </c>
      <c r="M16" s="5">
        <v>1</v>
      </c>
      <c r="N16" s="31" t="str">
        <f>IF(J16="Yes","A: ≥ "&amp;K16&amp;"  |  B: "&amp;L16&amp;"-"&amp;K16&amp;"  |  C: "&amp;M16&amp;"-"&amp;L16&amp;"  |  D: &lt; "&amp;M16,"A: ≤ "&amp;K16&amp;"  |  B: "&amp;K16&amp;"-"&amp;L16&amp;"  |  C: "&amp;L16&amp;"-"&amp;M16&amp;"  |  D: &gt; "&amp;M16)</f>
        <v>A: ≤ 0  |  B: 0-0.5  |  C: 0.5-1  |  D: &gt; 1</v>
      </c>
      <c r="O16" s="5">
        <v>0.4</v>
      </c>
      <c r="P16" s="32" t="str">
        <f>IF(ISBLANK(O16),"",IF(J16="Yes",IF(O16&gt;K16,"A",IF(O16&gt;L16,"B",IF(O16&gt;M16,"C","D"))),IF(O16&lt;K16,"A",IF(O16&lt;L16,"B",IF(O16&lt;M16,"C","D")))))</f>
        <v>B</v>
      </c>
      <c r="Q16" s="33">
        <f>IF(P16="A",4,IF(P16="B",3,IF(P16="C",2,IF(P16="D",1,""))))</f>
        <v>3</v>
      </c>
      <c r="R16" s="34" t="s">
        <v>66</v>
      </c>
      <c r="S16" s="34" t="s">
        <v>83</v>
      </c>
      <c r="T16" s="34" t="s">
        <v>84</v>
      </c>
    </row>
    <row r="17" spans="1:20" outlineLevel="2" x14ac:dyDescent="0.25">
      <c r="A17" s="27" t="s">
        <v>85</v>
      </c>
      <c r="B17" s="28"/>
      <c r="C17" s="28"/>
      <c r="D17" s="28"/>
      <c r="E17" s="28"/>
      <c r="F17" s="28"/>
      <c r="G17" s="14">
        <v>0.25</v>
      </c>
      <c r="H17" s="29">
        <f>IFERROR(G17/SUM($G$14:$G$17),0)</f>
        <v>0.25</v>
      </c>
      <c r="I17" s="30">
        <f>H17*$F$13</f>
        <v>2.0625000000000001E-2</v>
      </c>
      <c r="J17" s="5" t="s">
        <v>54</v>
      </c>
      <c r="K17" s="5">
        <v>4</v>
      </c>
      <c r="L17" s="5">
        <v>2</v>
      </c>
      <c r="M17" s="5">
        <v>0.01</v>
      </c>
      <c r="N17" s="31" t="str">
        <f>IF(J17="Yes","A: ≥ "&amp;K17&amp;"  |  B: "&amp;L17&amp;"-"&amp;K17&amp;"  |  C: "&amp;M17&amp;"-"&amp;L17&amp;"  |  D: &lt; "&amp;M17,"A: ≤ "&amp;K17&amp;"  |  B: "&amp;K17&amp;"-"&amp;L17&amp;"  |  C: "&amp;L17&amp;"-"&amp;M17&amp;"  |  D: &gt; "&amp;M17)</f>
        <v>A: ≥ 4  |  B: 2-4  |  C: 0.01-2  |  D: &lt; 0.01</v>
      </c>
      <c r="O17" s="5">
        <v>2.5</v>
      </c>
      <c r="P17" s="32" t="str">
        <f>IF(ISBLANK(O17),"",IF(J17="Yes",IF(O17&gt;K17,"A",IF(O17&gt;L17,"B",IF(O17&gt;M17,"C","D"))),IF(O17&lt;K17,"A",IF(O17&lt;L17,"B",IF(O17&lt;M17,"C","D")))))</f>
        <v>B</v>
      </c>
      <c r="Q17" s="33">
        <f>IF(P17="A",4,IF(P17="B",3,IF(P17="C",2,IF(P17="D",1,""))))</f>
        <v>3</v>
      </c>
      <c r="R17" s="34" t="s">
        <v>66</v>
      </c>
      <c r="S17" s="34" t="s">
        <v>86</v>
      </c>
      <c r="T17" s="34" t="s">
        <v>87</v>
      </c>
    </row>
    <row r="18" spans="1:20" outlineLevel="1" x14ac:dyDescent="0.25">
      <c r="A18" s="18" t="s">
        <v>88</v>
      </c>
      <c r="B18" s="19"/>
      <c r="C18" s="19"/>
      <c r="D18" s="14">
        <v>0.25</v>
      </c>
      <c r="E18" s="20">
        <f>IFERROR(D18/SUM(D9,D13,D18,D26),0)</f>
        <v>0.25</v>
      </c>
      <c r="F18" s="21">
        <f>E18*$C$8</f>
        <v>8.2500000000000004E-2</v>
      </c>
      <c r="G18" s="26">
        <f>SUM(G19:G25)</f>
        <v>1</v>
      </c>
      <c r="H18" s="26">
        <f>SUM(H19:H25)</f>
        <v>1</v>
      </c>
      <c r="I18" s="2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outlineLevel="2" x14ac:dyDescent="0.25">
      <c r="A19" s="27" t="s">
        <v>89</v>
      </c>
      <c r="B19" s="28"/>
      <c r="C19" s="28"/>
      <c r="D19" s="28"/>
      <c r="E19" s="28"/>
      <c r="F19" s="28"/>
      <c r="G19" s="14">
        <v>0.15</v>
      </c>
      <c r="H19" s="29">
        <f t="shared" ref="H19:H25" si="0">IFERROR(G19/SUM($G$19:$G$25),0)</f>
        <v>0.15</v>
      </c>
      <c r="I19" s="30">
        <f t="shared" ref="I19:I25" si="1">H19*$F$18</f>
        <v>1.2375000000000001E-2</v>
      </c>
      <c r="J19" s="5" t="s">
        <v>54</v>
      </c>
      <c r="K19" s="5">
        <v>75</v>
      </c>
      <c r="L19" s="5">
        <v>50</v>
      </c>
      <c r="M19" s="5">
        <v>25</v>
      </c>
      <c r="N19" s="31" t="str">
        <f t="shared" ref="N19:N26" si="2">IF(J19="Yes","A: ≥ "&amp;K19&amp;"  |  B: "&amp;L19&amp;"-"&amp;K19&amp;"  |  C: "&amp;M19&amp;"-"&amp;L19&amp;"  |  D: &lt; "&amp;M19,"A: ≤ "&amp;K19&amp;"  |  B: "&amp;K19&amp;"-"&amp;L19&amp;"  |  C: "&amp;L19&amp;"-"&amp;M19&amp;"  |  D: &gt; "&amp;M19)</f>
        <v>A: ≥ 75  |  B: 50-75  |  C: 25-50  |  D: &lt; 25</v>
      </c>
      <c r="O19" s="5">
        <v>75</v>
      </c>
      <c r="P19" s="32" t="str">
        <f t="shared" ref="P19:P26" si="3">IF(ISBLANK(O19),"",IF(J19="Yes",IF(O19&gt;K19,"A",IF(O19&gt;L19,"B",IF(O19&gt;M19,"C","D"))),IF(O19&lt;K19,"A",IF(O19&lt;L19,"B",IF(O19&lt;M19,"C","D")))))</f>
        <v>B</v>
      </c>
      <c r="Q19" s="33">
        <f t="shared" ref="Q19:Q26" si="4">IF(P19="A",4,IF(P19="B",3,IF(P19="C",2,IF(P19="D",1,""))))</f>
        <v>3</v>
      </c>
      <c r="R19" s="34" t="s">
        <v>66</v>
      </c>
      <c r="S19" s="34" t="s">
        <v>90</v>
      </c>
      <c r="T19" s="34" t="s">
        <v>91</v>
      </c>
    </row>
    <row r="20" spans="1:20" outlineLevel="2" x14ac:dyDescent="0.25">
      <c r="A20" s="27" t="s">
        <v>92</v>
      </c>
      <c r="B20" s="28"/>
      <c r="C20" s="28"/>
      <c r="D20" s="28"/>
      <c r="E20" s="28"/>
      <c r="F20" s="28"/>
      <c r="G20" s="14">
        <v>0.15</v>
      </c>
      <c r="H20" s="29">
        <f t="shared" si="0"/>
        <v>0.15</v>
      </c>
      <c r="I20" s="30">
        <f t="shared" si="1"/>
        <v>1.2375000000000001E-2</v>
      </c>
      <c r="J20" s="5" t="s">
        <v>54</v>
      </c>
      <c r="K20" s="5">
        <v>75</v>
      </c>
      <c r="L20" s="5">
        <v>50</v>
      </c>
      <c r="M20" s="5">
        <v>25</v>
      </c>
      <c r="N20" s="31" t="str">
        <f t="shared" si="2"/>
        <v>A: ≥ 75  |  B: 50-75  |  C: 25-50  |  D: &lt; 25</v>
      </c>
      <c r="O20" s="5">
        <v>55</v>
      </c>
      <c r="P20" s="32" t="str">
        <f t="shared" si="3"/>
        <v>B</v>
      </c>
      <c r="Q20" s="33">
        <f t="shared" si="4"/>
        <v>3</v>
      </c>
      <c r="R20" s="34" t="s">
        <v>66</v>
      </c>
      <c r="S20" s="34" t="s">
        <v>93</v>
      </c>
      <c r="T20" s="34" t="s">
        <v>94</v>
      </c>
    </row>
    <row r="21" spans="1:20" outlineLevel="2" x14ac:dyDescent="0.25">
      <c r="A21" s="27" t="s">
        <v>95</v>
      </c>
      <c r="B21" s="28"/>
      <c r="C21" s="28"/>
      <c r="D21" s="28"/>
      <c r="E21" s="28"/>
      <c r="F21" s="28"/>
      <c r="G21" s="14">
        <v>0.14000000000000001</v>
      </c>
      <c r="H21" s="29">
        <f t="shared" si="0"/>
        <v>0.14000000000000001</v>
      </c>
      <c r="I21" s="30">
        <f t="shared" si="1"/>
        <v>1.1550000000000001E-2</v>
      </c>
      <c r="J21" s="5" t="s">
        <v>54</v>
      </c>
      <c r="K21" s="5">
        <v>20</v>
      </c>
      <c r="L21" s="5">
        <v>10</v>
      </c>
      <c r="M21" s="5">
        <v>0</v>
      </c>
      <c r="N21" s="31" t="str">
        <f t="shared" si="2"/>
        <v>A: ≥ 20  |  B: 10-20  |  C: 0-10  |  D: &lt; 0</v>
      </c>
      <c r="O21" s="5">
        <v>12</v>
      </c>
      <c r="P21" s="32" t="str">
        <f t="shared" si="3"/>
        <v>B</v>
      </c>
      <c r="Q21" s="33">
        <f t="shared" si="4"/>
        <v>3</v>
      </c>
      <c r="R21" s="34" t="s">
        <v>66</v>
      </c>
      <c r="S21" s="34" t="s">
        <v>96</v>
      </c>
      <c r="T21" s="34" t="s">
        <v>97</v>
      </c>
    </row>
    <row r="22" spans="1:20" outlineLevel="2" x14ac:dyDescent="0.25">
      <c r="A22" s="27" t="s">
        <v>98</v>
      </c>
      <c r="B22" s="28"/>
      <c r="C22" s="28"/>
      <c r="D22" s="28"/>
      <c r="E22" s="28"/>
      <c r="F22" s="28"/>
      <c r="G22" s="14">
        <v>0.14000000000000001</v>
      </c>
      <c r="H22" s="29">
        <f t="shared" si="0"/>
        <v>0.14000000000000001</v>
      </c>
      <c r="I22" s="30">
        <f t="shared" si="1"/>
        <v>1.1550000000000001E-2</v>
      </c>
      <c r="J22" s="5" t="s">
        <v>54</v>
      </c>
      <c r="K22" s="5">
        <v>20</v>
      </c>
      <c r="L22" s="5">
        <v>10</v>
      </c>
      <c r="M22" s="5">
        <v>0</v>
      </c>
      <c r="N22" s="31" t="str">
        <f t="shared" si="2"/>
        <v>A: ≥ 20  |  B: 10-20  |  C: 0-10  |  D: &lt; 0</v>
      </c>
      <c r="O22" s="5">
        <v>18</v>
      </c>
      <c r="P22" s="32" t="str">
        <f t="shared" si="3"/>
        <v>B</v>
      </c>
      <c r="Q22" s="33">
        <f t="shared" si="4"/>
        <v>3</v>
      </c>
      <c r="R22" s="34" t="s">
        <v>66</v>
      </c>
      <c r="S22" s="34" t="s">
        <v>99</v>
      </c>
      <c r="T22" s="34" t="s">
        <v>100</v>
      </c>
    </row>
    <row r="23" spans="1:20" outlineLevel="2" x14ac:dyDescent="0.25">
      <c r="A23" s="27" t="s">
        <v>101</v>
      </c>
      <c r="B23" s="28"/>
      <c r="C23" s="28"/>
      <c r="D23" s="28"/>
      <c r="E23" s="28"/>
      <c r="F23" s="28"/>
      <c r="G23" s="14">
        <v>0.14000000000000001</v>
      </c>
      <c r="H23" s="29">
        <f t="shared" si="0"/>
        <v>0.14000000000000001</v>
      </c>
      <c r="I23" s="30">
        <f t="shared" si="1"/>
        <v>1.1550000000000001E-2</v>
      </c>
      <c r="J23" s="5" t="s">
        <v>54</v>
      </c>
      <c r="K23" s="5">
        <v>20</v>
      </c>
      <c r="L23" s="5">
        <v>10</v>
      </c>
      <c r="M23" s="5">
        <v>0</v>
      </c>
      <c r="N23" s="31" t="str">
        <f t="shared" si="2"/>
        <v>A: ≥ 20  |  B: 10-20  |  C: 0-10  |  D: &lt; 0</v>
      </c>
      <c r="O23" s="5">
        <v>2</v>
      </c>
      <c r="P23" s="32" t="str">
        <f t="shared" si="3"/>
        <v>C</v>
      </c>
      <c r="Q23" s="33">
        <f t="shared" si="4"/>
        <v>2</v>
      </c>
      <c r="R23" s="34" t="s">
        <v>66</v>
      </c>
      <c r="S23" s="34" t="s">
        <v>102</v>
      </c>
      <c r="T23" s="34" t="s">
        <v>103</v>
      </c>
    </row>
    <row r="24" spans="1:20" outlineLevel="2" x14ac:dyDescent="0.25">
      <c r="A24" s="27" t="s">
        <v>104</v>
      </c>
      <c r="B24" s="28"/>
      <c r="C24" s="28"/>
      <c r="D24" s="28"/>
      <c r="E24" s="28"/>
      <c r="F24" s="28"/>
      <c r="G24" s="14">
        <v>0.14000000000000001</v>
      </c>
      <c r="H24" s="29">
        <f t="shared" si="0"/>
        <v>0.14000000000000001</v>
      </c>
      <c r="I24" s="30">
        <f t="shared" si="1"/>
        <v>1.1550000000000001E-2</v>
      </c>
      <c r="J24" s="5" t="s">
        <v>54</v>
      </c>
      <c r="K24" s="5">
        <v>20</v>
      </c>
      <c r="L24" s="5">
        <v>10</v>
      </c>
      <c r="M24" s="5">
        <v>0</v>
      </c>
      <c r="N24" s="31" t="str">
        <f t="shared" si="2"/>
        <v>A: ≥ 20  |  B: 10-20  |  C: 0-10  |  D: &lt; 0</v>
      </c>
      <c r="O24" s="5">
        <v>22</v>
      </c>
      <c r="P24" s="32" t="str">
        <f t="shared" si="3"/>
        <v>A</v>
      </c>
      <c r="Q24" s="33">
        <f t="shared" si="4"/>
        <v>4</v>
      </c>
      <c r="R24" s="34" t="s">
        <v>66</v>
      </c>
      <c r="S24" s="34" t="s">
        <v>105</v>
      </c>
      <c r="T24" s="34" t="s">
        <v>106</v>
      </c>
    </row>
    <row r="25" spans="1:20" outlineLevel="2" x14ac:dyDescent="0.25">
      <c r="A25" s="27" t="s">
        <v>107</v>
      </c>
      <c r="B25" s="28"/>
      <c r="C25" s="28"/>
      <c r="D25" s="28"/>
      <c r="E25" s="28"/>
      <c r="F25" s="28"/>
      <c r="G25" s="14">
        <v>0.14000000000000001</v>
      </c>
      <c r="H25" s="29">
        <f t="shared" si="0"/>
        <v>0.14000000000000001</v>
      </c>
      <c r="I25" s="30">
        <f t="shared" si="1"/>
        <v>1.1550000000000001E-2</v>
      </c>
      <c r="J25" s="5" t="s">
        <v>54</v>
      </c>
      <c r="K25" s="5">
        <v>20</v>
      </c>
      <c r="L25" s="5">
        <v>10</v>
      </c>
      <c r="M25" s="5">
        <v>0</v>
      </c>
      <c r="N25" s="31" t="str">
        <f t="shared" si="2"/>
        <v>A: ≥ 20  |  B: 10-20  |  C: 0-10  |  D: &lt; 0</v>
      </c>
      <c r="O25" s="5">
        <v>14</v>
      </c>
      <c r="P25" s="32" t="str">
        <f t="shared" si="3"/>
        <v>B</v>
      </c>
      <c r="Q25" s="33">
        <f t="shared" si="4"/>
        <v>3</v>
      </c>
      <c r="R25" s="34" t="s">
        <v>66</v>
      </c>
      <c r="S25" s="34" t="s">
        <v>108</v>
      </c>
      <c r="T25" s="34" t="s">
        <v>109</v>
      </c>
    </row>
    <row r="26" spans="1:20" outlineLevel="1" x14ac:dyDescent="0.25">
      <c r="A26" s="18" t="s">
        <v>110</v>
      </c>
      <c r="B26" s="19"/>
      <c r="C26" s="19"/>
      <c r="D26" s="14">
        <v>0.25</v>
      </c>
      <c r="E26" s="20">
        <f>IFERROR(D26/SUM(D9,D13,D18,D26),0)</f>
        <v>0.25</v>
      </c>
      <c r="F26" s="21">
        <f>E26*$C$8</f>
        <v>8.2500000000000004E-2</v>
      </c>
      <c r="G26" s="19"/>
      <c r="H26" s="19"/>
      <c r="I26" s="21">
        <f>F26</f>
        <v>8.2500000000000004E-2</v>
      </c>
      <c r="J26" s="5" t="s">
        <v>65</v>
      </c>
      <c r="K26" s="5">
        <v>1.5</v>
      </c>
      <c r="L26" s="5">
        <v>2</v>
      </c>
      <c r="M26" s="5">
        <v>2.6</v>
      </c>
      <c r="N26" s="22" t="str">
        <f t="shared" si="2"/>
        <v>A: ≤ 1.5  |  B: 1.5-2  |  C: 2-2.6  |  D: &gt; 2.6</v>
      </c>
      <c r="O26" s="5">
        <v>1.8</v>
      </c>
      <c r="P26" s="23" t="str">
        <f t="shared" si="3"/>
        <v>B</v>
      </c>
      <c r="Q26" s="24">
        <f t="shared" si="4"/>
        <v>3</v>
      </c>
      <c r="R26" s="25" t="s">
        <v>66</v>
      </c>
      <c r="S26" s="25" t="s">
        <v>111</v>
      </c>
      <c r="T26" s="25" t="s">
        <v>112</v>
      </c>
    </row>
    <row r="27" spans="1:20" ht="24" customHeight="1" x14ac:dyDescent="0.25">
      <c r="A27" s="13" t="s">
        <v>113</v>
      </c>
      <c r="B27" s="14">
        <v>0.34</v>
      </c>
      <c r="C27" s="15">
        <f>IFERROR(B27/SUM(B5,B8,B27),0)</f>
        <v>0.34</v>
      </c>
      <c r="D27" s="16">
        <f>D28+D33</f>
        <v>1</v>
      </c>
      <c r="E27" s="16">
        <f>E28+E33</f>
        <v>1</v>
      </c>
      <c r="F27" s="16">
        <f>F28+F33</f>
        <v>0.34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0" outlineLevel="1" x14ac:dyDescent="0.25">
      <c r="A28" s="18" t="s">
        <v>114</v>
      </c>
      <c r="B28" s="19"/>
      <c r="C28" s="19"/>
      <c r="D28" s="14">
        <v>0.6</v>
      </c>
      <c r="E28" s="20">
        <f>IFERROR(D28/SUM(D28,D33),0)</f>
        <v>0.6</v>
      </c>
      <c r="F28" s="21">
        <f>E28*$C$27</f>
        <v>0.20400000000000001</v>
      </c>
      <c r="G28" s="26">
        <f>SUM(G29:G32)</f>
        <v>1</v>
      </c>
      <c r="H28" s="26">
        <f>SUM(H29:H32)</f>
        <v>1</v>
      </c>
      <c r="I28" s="26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outlineLevel="2" x14ac:dyDescent="0.25">
      <c r="A29" s="27" t="s">
        <v>115</v>
      </c>
      <c r="B29" s="28"/>
      <c r="C29" s="28"/>
      <c r="D29" s="28"/>
      <c r="E29" s="28"/>
      <c r="F29" s="28"/>
      <c r="G29" s="14">
        <v>0.25</v>
      </c>
      <c r="H29" s="29">
        <f>IFERROR(G29/SUM($G$29:$G$32),0)</f>
        <v>0.25</v>
      </c>
      <c r="I29" s="30">
        <f>H29*$F$28</f>
        <v>5.1000000000000004E-2</v>
      </c>
      <c r="J29" s="5" t="s">
        <v>54</v>
      </c>
      <c r="K29" s="5">
        <v>0.2</v>
      </c>
      <c r="L29" s="5">
        <v>0.05</v>
      </c>
      <c r="M29" s="5">
        <v>0</v>
      </c>
      <c r="N29" s="31" t="str">
        <f>IF(J29="Yes","A: ≥ "&amp;K29&amp;"  |  B: "&amp;L29&amp;"-"&amp;K29&amp;"  |  C: "&amp;M29&amp;"-"&amp;L29&amp;"  |  D: &lt; "&amp;M29,"A: ≤ "&amp;K29&amp;"  |  B: "&amp;K29&amp;"-"&amp;L29&amp;"  |  C: "&amp;L29&amp;"-"&amp;M29&amp;"  |  D: &gt; "&amp;M29)</f>
        <v>A: ≥ 0.2  |  B: 0.05-0.2  |  C: 0-0.05  |  D: &lt; 0</v>
      </c>
      <c r="O29" s="5">
        <v>0.1</v>
      </c>
      <c r="P29" s="32" t="str">
        <f>IF(ISBLANK(O29),"",IF(J29="Yes",IF(O29&gt;K29,"A",IF(O29&gt;L29,"B",IF(O29&gt;M29,"C","D"))),IF(O29&lt;K29,"A",IF(O29&lt;L29,"B",IF(O29&lt;M29,"C","D")))))</f>
        <v>B</v>
      </c>
      <c r="Q29" s="33">
        <f>IF(P29="A",4,IF(P29="B",3,IF(P29="C",2,IF(P29="D",1,""))))</f>
        <v>3</v>
      </c>
      <c r="R29" s="34" t="s">
        <v>116</v>
      </c>
      <c r="S29" s="34" t="s">
        <v>117</v>
      </c>
      <c r="T29" s="34" t="s">
        <v>118</v>
      </c>
    </row>
    <row r="30" spans="1:20" outlineLevel="2" x14ac:dyDescent="0.25">
      <c r="A30" s="27" t="s">
        <v>119</v>
      </c>
      <c r="B30" s="28"/>
      <c r="C30" s="28"/>
      <c r="D30" s="28"/>
      <c r="E30" s="28"/>
      <c r="F30" s="28"/>
      <c r="G30" s="14">
        <v>0.25</v>
      </c>
      <c r="H30" s="29">
        <f>IFERROR(G30/SUM($G$29:$G$32),0)</f>
        <v>0.25</v>
      </c>
      <c r="I30" s="30">
        <f>H30*$F$28</f>
        <v>5.1000000000000004E-2</v>
      </c>
      <c r="J30" s="5" t="s">
        <v>54</v>
      </c>
      <c r="K30" s="5">
        <v>0.1</v>
      </c>
      <c r="L30" s="5">
        <v>0.03</v>
      </c>
      <c r="M30" s="5">
        <v>0</v>
      </c>
      <c r="N30" s="31" t="str">
        <f>IF(J30="Yes","A: ≥ "&amp;K30&amp;"  |  B: "&amp;L30&amp;"-"&amp;K30&amp;"  |  C: "&amp;M30&amp;"-"&amp;L30&amp;"  |  D: &lt; "&amp;M30,"A: ≤ "&amp;K30&amp;"  |  B: "&amp;K30&amp;"-"&amp;L30&amp;"  |  C: "&amp;L30&amp;"-"&amp;M30&amp;"  |  D: &gt; "&amp;M30)</f>
        <v>A: ≥ 0.1  |  B: 0.03-0.1  |  C: 0-0.03  |  D: &lt; 0</v>
      </c>
      <c r="O30" s="5">
        <v>0.05</v>
      </c>
      <c r="P30" s="32" t="str">
        <f>IF(ISBLANK(O30),"",IF(J30="Yes",IF(O30&gt;K30,"A",IF(O30&gt;L30,"B",IF(O30&gt;M30,"C","D"))),IF(O30&lt;K30,"A",IF(O30&lt;L30,"B",IF(O30&lt;M30,"C","D")))))</f>
        <v>B</v>
      </c>
      <c r="Q30" s="33">
        <f>IF(P30="A",4,IF(P30="B",3,IF(P30="C",2,IF(P30="D",1,""))))</f>
        <v>3</v>
      </c>
      <c r="R30" s="34" t="s">
        <v>116</v>
      </c>
      <c r="S30" s="34" t="s">
        <v>120</v>
      </c>
      <c r="T30" s="34" t="s">
        <v>121</v>
      </c>
    </row>
    <row r="31" spans="1:20" outlineLevel="2" x14ac:dyDescent="0.25">
      <c r="A31" s="27" t="s">
        <v>122</v>
      </c>
      <c r="B31" s="28"/>
      <c r="C31" s="28"/>
      <c r="D31" s="28"/>
      <c r="E31" s="28"/>
      <c r="F31" s="28"/>
      <c r="G31" s="14">
        <v>0.25</v>
      </c>
      <c r="H31" s="29">
        <f>IFERROR(G31/SUM($G$29:$G$32),0)</f>
        <v>0.25</v>
      </c>
      <c r="I31" s="30">
        <f>H31*$F$28</f>
        <v>5.1000000000000004E-2</v>
      </c>
      <c r="J31" s="5" t="s">
        <v>54</v>
      </c>
      <c r="K31" s="5">
        <v>5</v>
      </c>
      <c r="L31" s="5">
        <v>0</v>
      </c>
      <c r="M31" s="5">
        <v>-5</v>
      </c>
      <c r="N31" s="31" t="str">
        <f>IF(J31="Yes","A: ≥ "&amp;K31&amp;"  |  B: "&amp;L31&amp;"-"&amp;K31&amp;"  |  C: "&amp;M31&amp;"-"&amp;L31&amp;"  |  D: &lt; "&amp;M31,"A: ≤ "&amp;K31&amp;"  |  B: "&amp;K31&amp;"-"&amp;L31&amp;"  |  C: "&amp;L31&amp;"-"&amp;M31&amp;"  |  D: &gt; "&amp;M31)</f>
        <v>A: ≥ 5  |  B: 0-5  |  C: -5-0  |  D: &lt; -5</v>
      </c>
      <c r="O31" s="5">
        <v>3</v>
      </c>
      <c r="P31" s="32" t="str">
        <f>IF(ISBLANK(O31),"",IF(J31="Yes",IF(O31&gt;K31,"A",IF(O31&gt;L31,"B",IF(O31&gt;M31,"C","D"))),IF(O31&lt;K31,"A",IF(O31&lt;L31,"B",IF(O31&lt;M31,"C","D")))))</f>
        <v>B</v>
      </c>
      <c r="Q31" s="33">
        <f>IF(P31="A",4,IF(P31="B",3,IF(P31="C",2,IF(P31="D",1,""))))</f>
        <v>3</v>
      </c>
      <c r="R31" s="34" t="s">
        <v>116</v>
      </c>
      <c r="S31" s="34" t="s">
        <v>123</v>
      </c>
      <c r="T31" s="34" t="s">
        <v>124</v>
      </c>
    </row>
    <row r="32" spans="1:20" outlineLevel="2" x14ac:dyDescent="0.25">
      <c r="A32" s="27" t="s">
        <v>125</v>
      </c>
      <c r="B32" s="28"/>
      <c r="C32" s="28"/>
      <c r="D32" s="28"/>
      <c r="E32" s="28"/>
      <c r="F32" s="28"/>
      <c r="G32" s="14">
        <v>0.25</v>
      </c>
      <c r="H32" s="29">
        <f>IFERROR(G32/SUM($G$29:$G$32),0)</f>
        <v>0.25</v>
      </c>
      <c r="I32" s="30">
        <f>H32*$F$28</f>
        <v>5.1000000000000004E-2</v>
      </c>
      <c r="J32" s="5" t="s">
        <v>54</v>
      </c>
      <c r="K32" s="5">
        <v>5</v>
      </c>
      <c r="L32" s="5">
        <v>0</v>
      </c>
      <c r="M32" s="5">
        <v>-10</v>
      </c>
      <c r="N32" s="31" t="str">
        <f>IF(J32="Yes","A: ≥ "&amp;K32&amp;"  |  B: "&amp;L32&amp;"-"&amp;K32&amp;"  |  C: "&amp;M32&amp;"-"&amp;L32&amp;"  |  D: &lt; "&amp;M32,"A: ≤ "&amp;K32&amp;"  |  B: "&amp;K32&amp;"-"&amp;L32&amp;"  |  C: "&amp;L32&amp;"-"&amp;M32&amp;"  |  D: &gt; "&amp;M32)</f>
        <v>A: ≥ 5  |  B: 0-5  |  C: -10-0  |  D: &lt; -10</v>
      </c>
      <c r="O32" s="5">
        <v>8</v>
      </c>
      <c r="P32" s="32" t="str">
        <f>IF(ISBLANK(O32),"",IF(J32="Yes",IF(O32&gt;K32,"A",IF(O32&gt;L32,"B",IF(O32&gt;M32,"C","D"))),IF(O32&lt;K32,"A",IF(O32&lt;L32,"B",IF(O32&lt;M32,"C","D")))))</f>
        <v>A</v>
      </c>
      <c r="Q32" s="33">
        <f>IF(P32="A",4,IF(P32="B",3,IF(P32="C",2,IF(P32="D",1,""))))</f>
        <v>4</v>
      </c>
      <c r="R32" s="34" t="s">
        <v>116</v>
      </c>
      <c r="S32" s="34" t="s">
        <v>126</v>
      </c>
      <c r="T32" s="34" t="s">
        <v>127</v>
      </c>
    </row>
    <row r="33" spans="1:20" outlineLevel="1" x14ac:dyDescent="0.25">
      <c r="A33" s="18" t="s">
        <v>128</v>
      </c>
      <c r="B33" s="19"/>
      <c r="C33" s="19"/>
      <c r="D33" s="14">
        <v>0.4</v>
      </c>
      <c r="E33" s="20">
        <f>IFERROR(D33/SUM(D28,D33),0)</f>
        <v>0.4</v>
      </c>
      <c r="F33" s="21">
        <f>E33*$C$27</f>
        <v>0.13600000000000001</v>
      </c>
      <c r="G33" s="26">
        <f>SUM(G34:G36)</f>
        <v>1</v>
      </c>
      <c r="H33" s="26">
        <f>SUM(H34:H36)</f>
        <v>1</v>
      </c>
      <c r="I33" s="26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outlineLevel="2" x14ac:dyDescent="0.25">
      <c r="A34" s="27" t="s">
        <v>129</v>
      </c>
      <c r="B34" s="28"/>
      <c r="C34" s="28"/>
      <c r="D34" s="28"/>
      <c r="E34" s="28"/>
      <c r="F34" s="28"/>
      <c r="G34" s="14">
        <v>0.33</v>
      </c>
      <c r="H34" s="29">
        <f>IFERROR(G34/SUM($G$34:$G$36),0)</f>
        <v>0.33</v>
      </c>
      <c r="I34" s="30">
        <f>H34*$F$33</f>
        <v>4.4880000000000003E-2</v>
      </c>
      <c r="J34" s="5" t="s">
        <v>54</v>
      </c>
      <c r="K34" s="5">
        <v>1</v>
      </c>
      <c r="L34" s="5">
        <v>0</v>
      </c>
      <c r="M34" s="5">
        <v>-0.5</v>
      </c>
      <c r="N34" s="31" t="str">
        <f>IF(J34="Yes","A: ≥ "&amp;K34&amp;"  |  B: "&amp;L34&amp;"-"&amp;K34&amp;"  |  C: "&amp;M34&amp;"-"&amp;L34&amp;"  |  D: &lt; "&amp;M34,"A: ≤ "&amp;K34&amp;"  |  B: "&amp;K34&amp;"-"&amp;L34&amp;"  |  C: "&amp;L34&amp;"-"&amp;M34&amp;"  |  D: &gt; "&amp;M34)</f>
        <v>A: ≥ 1  |  B: 0-1  |  C: -0.5-0  |  D: &lt; -0.5</v>
      </c>
      <c r="O34" s="5">
        <v>0.5</v>
      </c>
      <c r="P34" s="32" t="str">
        <f>IF(ISBLANK(O34),"",IF(J34="Yes",IF(O34&gt;K34,"A",IF(O34&gt;L34,"B",IF(O34&gt;M34,"C","D"))),IF(O34&lt;K34,"A",IF(O34&lt;L34,"B",IF(O34&lt;M34,"C","D")))))</f>
        <v>B</v>
      </c>
      <c r="Q34" s="33">
        <f>IF(P34="A",4,IF(P34="B",3,IF(P34="C",2,IF(P34="D",1,""))))</f>
        <v>3</v>
      </c>
      <c r="R34" s="34" t="s">
        <v>116</v>
      </c>
      <c r="S34" s="34" t="s">
        <v>130</v>
      </c>
      <c r="T34" s="34" t="s">
        <v>131</v>
      </c>
    </row>
    <row r="35" spans="1:20" outlineLevel="2" x14ac:dyDescent="0.25">
      <c r="A35" s="27" t="s">
        <v>132</v>
      </c>
      <c r="B35" s="28"/>
      <c r="C35" s="28"/>
      <c r="D35" s="28"/>
      <c r="E35" s="28"/>
      <c r="F35" s="28"/>
      <c r="G35" s="14">
        <v>0.34</v>
      </c>
      <c r="H35" s="29">
        <f>IFERROR(G35/SUM($G$34:$G$36),0)</f>
        <v>0.34</v>
      </c>
      <c r="I35" s="30">
        <f>H35*$F$33</f>
        <v>4.6240000000000003E-2</v>
      </c>
      <c r="J35" s="5" t="s">
        <v>54</v>
      </c>
      <c r="K35" s="5">
        <v>80</v>
      </c>
      <c r="L35" s="5">
        <v>50</v>
      </c>
      <c r="M35" s="5">
        <v>20</v>
      </c>
      <c r="N35" s="31" t="str">
        <f>IF(J35="Yes","A: ≥ "&amp;K35&amp;"  |  B: "&amp;L35&amp;"-"&amp;K35&amp;"  |  C: "&amp;M35&amp;"-"&amp;L35&amp;"  |  D: &lt; "&amp;M35,"A: ≤ "&amp;K35&amp;"  |  B: "&amp;K35&amp;"-"&amp;L35&amp;"  |  C: "&amp;L35&amp;"-"&amp;M35&amp;"  |  D: &gt; "&amp;M35)</f>
        <v>A: ≥ 80  |  B: 50-80  |  C: 20-50  |  D: &lt; 20</v>
      </c>
      <c r="O35" s="5">
        <v>65</v>
      </c>
      <c r="P35" s="32" t="str">
        <f>IF(ISBLANK(O35),"",IF(J35="Yes",IF(O35&gt;K35,"A",IF(O35&gt;L35,"B",IF(O35&gt;M35,"C","D"))),IF(O35&lt;K35,"A",IF(O35&lt;L35,"B",IF(O35&lt;M35,"C","D")))))</f>
        <v>B</v>
      </c>
      <c r="Q35" s="33">
        <f>IF(P35="A",4,IF(P35="B",3,IF(P35="C",2,IF(P35="D",1,""))))</f>
        <v>3</v>
      </c>
      <c r="R35" s="34" t="s">
        <v>116</v>
      </c>
      <c r="S35" s="34" t="s">
        <v>133</v>
      </c>
      <c r="T35" s="34" t="s">
        <v>134</v>
      </c>
    </row>
    <row r="36" spans="1:20" outlineLevel="2" x14ac:dyDescent="0.25">
      <c r="A36" s="27" t="s">
        <v>135</v>
      </c>
      <c r="B36" s="28"/>
      <c r="C36" s="28"/>
      <c r="D36" s="28"/>
      <c r="E36" s="28"/>
      <c r="F36" s="28"/>
      <c r="G36" s="14">
        <v>0.33</v>
      </c>
      <c r="H36" s="29">
        <f>IFERROR(G36/SUM($G$34:$G$36),0)</f>
        <v>0.33</v>
      </c>
      <c r="I36" s="30">
        <f>H36*$F$33</f>
        <v>4.4880000000000003E-2</v>
      </c>
      <c r="J36" s="5" t="s">
        <v>54</v>
      </c>
      <c r="K36" s="5">
        <v>70</v>
      </c>
      <c r="L36" s="5">
        <v>50</v>
      </c>
      <c r="M36" s="5">
        <v>30</v>
      </c>
      <c r="N36" s="31" t="str">
        <f>IF(J36="Yes","A: ≥ "&amp;K36&amp;"  |  B: "&amp;L36&amp;"-"&amp;K36&amp;"  |  C: "&amp;M36&amp;"-"&amp;L36&amp;"  |  D: &lt; "&amp;M36,"A: ≤ "&amp;K36&amp;"  |  B: "&amp;K36&amp;"-"&amp;L36&amp;"  |  C: "&amp;L36&amp;"-"&amp;M36&amp;"  |  D: &gt; "&amp;M36)</f>
        <v>A: ≥ 70  |  B: 50-70  |  C: 30-50  |  D: &lt; 30</v>
      </c>
      <c r="O36" s="5">
        <v>55</v>
      </c>
      <c r="P36" s="32" t="str">
        <f>IF(ISBLANK(O36),"",IF(J36="Yes",IF(O36&gt;K36,"A",IF(O36&gt;L36,"B",IF(O36&gt;M36,"C","D"))),IF(O36&lt;K36,"A",IF(O36&lt;L36,"B",IF(O36&lt;M36,"C","D")))))</f>
        <v>B</v>
      </c>
      <c r="Q36" s="33">
        <f>IF(P36="A",4,IF(P36="B",3,IF(P36="C",2,IF(P36="D",1,""))))</f>
        <v>3</v>
      </c>
      <c r="R36" s="34" t="s">
        <v>116</v>
      </c>
      <c r="S36" s="34" t="s">
        <v>136</v>
      </c>
      <c r="T36" s="34" t="s">
        <v>137</v>
      </c>
    </row>
    <row r="38" spans="1:20" x14ac:dyDescent="0.25">
      <c r="H38" s="38" t="s">
        <v>147</v>
      </c>
      <c r="I38" s="37">
        <f>SUM(I6:I37)</f>
        <v>1</v>
      </c>
    </row>
  </sheetData>
  <mergeCells count="2">
    <mergeCell ref="A1:T1"/>
    <mergeCell ref="A2:T2"/>
  </mergeCells>
  <conditionalFormatting sqref="P6:P7">
    <cfRule type="expression" dxfId="23" priority="1">
      <formula>P6="A"</formula>
    </cfRule>
    <cfRule type="expression" dxfId="22" priority="2">
      <formula>P6="B"</formula>
    </cfRule>
    <cfRule type="expression" dxfId="21" priority="3">
      <formula>P6="C"</formula>
    </cfRule>
    <cfRule type="expression" dxfId="20" priority="4">
      <formula>P6="D"</formula>
    </cfRule>
  </conditionalFormatting>
  <conditionalFormatting sqref="P10:P12">
    <cfRule type="expression" dxfId="19" priority="5">
      <formula>P10="A"</formula>
    </cfRule>
    <cfRule type="expression" dxfId="18" priority="6">
      <formula>P10="B"</formula>
    </cfRule>
    <cfRule type="expression" dxfId="17" priority="7">
      <formula>P10="C"</formula>
    </cfRule>
    <cfRule type="expression" dxfId="16" priority="8">
      <formula>P10="D"</formula>
    </cfRule>
  </conditionalFormatting>
  <conditionalFormatting sqref="P14:P17">
    <cfRule type="expression" dxfId="15" priority="9">
      <formula>P14="A"</formula>
    </cfRule>
    <cfRule type="expression" dxfId="14" priority="10">
      <formula>P14="B"</formula>
    </cfRule>
    <cfRule type="expression" dxfId="13" priority="11">
      <formula>P14="C"</formula>
    </cfRule>
    <cfRule type="expression" dxfId="12" priority="12">
      <formula>P14="D"</formula>
    </cfRule>
  </conditionalFormatting>
  <conditionalFormatting sqref="P19:P26">
    <cfRule type="expression" dxfId="11" priority="13">
      <formula>P19="A"</formula>
    </cfRule>
    <cfRule type="expression" dxfId="10" priority="14">
      <formula>P19="B"</formula>
    </cfRule>
    <cfRule type="expression" dxfId="9" priority="15">
      <formula>P19="C"</formula>
    </cfRule>
    <cfRule type="expression" dxfId="8" priority="16">
      <formula>P19="D"</formula>
    </cfRule>
  </conditionalFormatting>
  <conditionalFormatting sqref="P29:P32">
    <cfRule type="expression" dxfId="7" priority="17">
      <formula>P29="A"</formula>
    </cfRule>
    <cfRule type="expression" dxfId="6" priority="18">
      <formula>P29="B"</formula>
    </cfRule>
    <cfRule type="expression" dxfId="5" priority="19">
      <formula>P29="C"</formula>
    </cfRule>
    <cfRule type="expression" dxfId="4" priority="20">
      <formula>P29="D"</formula>
    </cfRule>
  </conditionalFormatting>
  <conditionalFormatting sqref="P34:P36">
    <cfRule type="expression" dxfId="3" priority="21">
      <formula>P34="A"</formula>
    </cfRule>
    <cfRule type="expression" dxfId="2" priority="22">
      <formula>P34="B"</formula>
    </cfRule>
    <cfRule type="expression" dxfId="1" priority="23">
      <formula>P34="C"</formula>
    </cfRule>
    <cfRule type="expression" dxfId="0" priority="24">
      <formula>P34="D"</formula>
    </cfRule>
  </conditionalFormatting>
  <dataValidations count="1">
    <dataValidation type="list" sqref="J6:J7 J10:J12 J14:J17 J19:J26 J29:J32 J34:J36" xr:uid="{55215241-AD59-45AB-9066-35F195E77D7C}">
      <formula1>"Yes,No"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Strategies</vt:lpstr>
      <vt:lpstr>Default</vt:lpstr>
      <vt:lpstr>Custom1</vt:lpstr>
      <vt:lpstr>Custom2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Autonomous Steve</cp:lastModifiedBy>
  <cp:revision>0</cp:revision>
  <dcterms:created xsi:type="dcterms:W3CDTF">2026-05-15T00:03:38Z</dcterms:created>
  <dcterms:modified xsi:type="dcterms:W3CDTF">2026-05-15T20:05:22Z</dcterms:modified>
  <dc:language>en-US</dc:language>
</cp:coreProperties>
</file>